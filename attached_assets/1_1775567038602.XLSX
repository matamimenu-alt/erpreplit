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DC868DDD-DC8C-4AC3-8E76-83E4AD022FC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4" i="1" l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B3" i="1"/>
</calcChain>
</file>

<file path=xl/sharedStrings.xml><?xml version="1.0" encoding="utf-8"?>
<sst xmlns="http://schemas.openxmlformats.org/spreadsheetml/2006/main" count="46" uniqueCount="46">
  <si>
    <t>None - Operating Expenses</t>
  </si>
  <si>
    <t>Cost Account</t>
  </si>
  <si>
    <t>Description</t>
  </si>
  <si>
    <t>TOTAL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</si>
  <si>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</si>
  <si>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</si>
  <si>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</si>
  <si>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</si>
  <si>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</si>
  <si>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</si>
  <si>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</si>
  <si>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</si>
  <si>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</si>
  <si>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</si>
  <si>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</si>
  <si>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</si>
  <si>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Cost of – Licenses &amp; Permits</t>
  </si>
  <si>
    <t>تكلفة – التراخيص والتصاريح</t>
  </si>
  <si>
    <t>Cost of – Shop Rent</t>
  </si>
  <si>
    <t>تكلفة – إيجار المحل</t>
  </si>
  <si>
    <t>Cost of – Staff Accommodation Rent</t>
  </si>
  <si>
    <t>تكلفة – إيجار سكن الموظفين</t>
  </si>
  <si>
    <t>Cost of – Staff Accommodation Energy</t>
  </si>
  <si>
    <t>تكلفة – طاقة سكن الموظفين (كهرباء/مياه)</t>
  </si>
  <si>
    <t>Cost of – Staff Accommodation Maintenance</t>
  </si>
  <si>
    <t>تكلفة – صيانة سكن الموظفين</t>
  </si>
  <si>
    <t>Cost of – Staff Municipality ID</t>
  </si>
  <si>
    <t>تكلفة – هوية البلدية للموظفين</t>
  </si>
  <si>
    <t>Cost of – Car &amp; Bus Insurance</t>
  </si>
  <si>
    <t>تكلفة – تأمين السيارات والحافلات</t>
  </si>
  <si>
    <t>Cost of – Bank Charges</t>
  </si>
  <si>
    <t>تكلفة – الرسوم البنكية</t>
  </si>
  <si>
    <t>Cost of – System Contract Services</t>
  </si>
  <si>
    <t>تكلفة – خدمات عقود الأنظمة</t>
  </si>
  <si>
    <t>Cost of – Staff Uniforms</t>
  </si>
  <si>
    <t>تكلفة – زي الموظفين</t>
  </si>
  <si>
    <t>Cost of – Laundry &amp; Dry Cleaning</t>
  </si>
  <si>
    <t>تكلفة – الغسيل والتنظيف الجاف</t>
  </si>
  <si>
    <t>Cost of – Contract Cleaning</t>
  </si>
  <si>
    <t>تكلفة – التنظيف التعاقدي</t>
  </si>
  <si>
    <t xml:space="preserve">OWNER  </t>
  </si>
  <si>
    <t>المالك شهري تعاقد</t>
  </si>
  <si>
    <t>Cost of – Miscellaneous Expenses</t>
  </si>
  <si>
    <t>تكلفة – مصروفات متنوعة</t>
  </si>
  <si>
    <t>Cost of -Depreciation</t>
  </si>
  <si>
    <t>تكلفة – الاهلاكات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</si>
</sst>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b/>
      <sz val="16"/>
      <color theme="1"/>
      <name val="Verdana"/>
      <family val="2"/>
    </font>
    <font>
      <b/>
      <sz val="25"/>
      <color theme="1"/>
      <name val="Verdana"/>
      <family val="2"/>
    </font>
    <font>
      <sz val="16"/>
      <color theme="1"/>
      <name val="Verdana"/>
      <family val="2"/>
    </font>
    <font>
      <b/>
      <sz val="10"/>
      <name val="Verdana"/>
      <family val="2"/>
    </font>
    <font>
      <b/>
      <sz val="12"/>
      <color theme="1"/>
      <name val="Verdana"/>
      <family val="2"/>
    </font>
    <font>
      <sz val="10"/>
      <name val="Verdana"/>
      <family val="2"/>
    </font>
    <font>
      <b/>
      <sz val="12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E2CFF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5">
    <xf numFmtId="0" fontId="0" fillId="0" borderId="0" xfId="0"/>
    <xf numFmtId="0" fontId="3" fillId="2" borderId="0" xfId="0" applyFont="1" applyFill="1"/>
    <xf numFmtId="0" fontId="4" fillId="2" borderId="0" xfId="0" applyFont="1" applyFill="1"/>
    <xf numFmtId="43" fontId="3" fillId="2" borderId="0" xfId="1" applyFont="1" applyFill="1"/>
    <xf numFmtId="43" fontId="5" fillId="2" borderId="0" xfId="1" applyFont="1" applyFill="1" applyBorder="1" applyAlignment="1">
      <alignment horizontal="left" vertical="center"/>
    </xf>
    <xf numFmtId="0" fontId="6" fillId="2" borderId="0" xfId="0" applyFont="1" applyFill="1" applyAlignment="1">
      <alignment horizontal="center" vertical="center"/>
    </xf>
    <xf numFmtId="17" fontId="7" fillId="3" borderId="0" xfId="1" applyNumberFormat="1" applyFont="1" applyFill="1" applyBorder="1" applyAlignment="1">
      <alignment horizontal="left"/>
    </xf>
    <xf numFmtId="43" fontId="7" fillId="3" borderId="0" xfId="1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43" fontId="3" fillId="2" borderId="1" xfId="1" applyFont="1" applyFill="1" applyBorder="1" applyAlignment="1">
      <alignment horizontal="left"/>
    </xf>
    <xf numFmtId="0" fontId="6" fillId="2" borderId="1" xfId="0" applyFont="1" applyFill="1" applyBorder="1" applyAlignment="1">
      <alignment horizontal="center" vertical="center"/>
    </xf>
    <xf numFmtId="0" fontId="8" fillId="4" borderId="2" xfId="0" applyFont="1" applyFill="1" applyBorder="1" applyAlignment="1">
      <alignment horizontal="center" vertical="center"/>
    </xf>
    <xf numFmtId="0" fontId="8" fillId="4" borderId="3" xfId="0" applyFont="1" applyFill="1" applyBorder="1" applyAlignment="1">
      <alignment horizontal="center" vertical="center"/>
    </xf>
    <xf numFmtId="0" fontId="8" fillId="4" borderId="4" xfId="0" applyFont="1" applyFill="1" applyBorder="1" applyAlignment="1">
      <alignment horizontal="center" vertical="center"/>
    </xf>
    <xf numFmtId="43" fontId="8" fillId="4" borderId="2" xfId="0" applyNumberFormat="1" applyFont="1" applyFill="1" applyBorder="1" applyAlignment="1">
      <alignment horizontal="center" vertical="center"/>
    </xf>
    <xf numFmtId="0" fontId="3" fillId="0" borderId="0" xfId="0" applyFont="1"/>
    <xf numFmtId="0" fontId="2" fillId="0" borderId="5" xfId="0" applyFont="1" applyBorder="1"/>
    <xf numFmtId="43" fontId="9" fillId="0" borderId="6" xfId="1" applyFont="1" applyFill="1" applyBorder="1" applyAlignment="1">
      <alignment horizontal="right"/>
    </xf>
    <xf numFmtId="43" fontId="10" fillId="4" borderId="7" xfId="1" applyFont="1" applyFill="1" applyBorder="1" applyAlignment="1">
      <alignment horizontal="center" vertical="center"/>
    </xf>
    <xf numFmtId="43" fontId="3" fillId="2" borderId="8" xfId="0" applyNumberFormat="1" applyFont="1" applyFill="1" applyBorder="1" applyAlignment="1">
      <alignment horizontal="center" vertical="center"/>
    </xf>
    <xf numFmtId="0" fontId="2" fillId="0" borderId="9" xfId="0" applyFont="1" applyBorder="1"/>
    <xf numFmtId="43" fontId="9" fillId="0" borderId="10" xfId="1" applyFont="1" applyFill="1" applyBorder="1" applyAlignment="1">
      <alignment horizontal="right"/>
    </xf>
    <xf numFmtId="43" fontId="10" fillId="4" borderId="11" xfId="1" applyFont="1" applyFill="1" applyBorder="1" applyAlignment="1">
      <alignment horizontal="left" vertical="center"/>
    </xf>
    <xf numFmtId="43" fontId="10" fillId="0" borderId="12" xfId="1" applyFont="1" applyBorder="1" applyAlignment="1">
      <alignment horizontal="center" vertical="center"/>
    </xf>
    <xf numFmtId="43" fontId="10" fillId="0" borderId="13" xfId="1" applyFont="1" applyBorder="1" applyAlignment="1">
      <alignment horizontal="center" vertical="center"/>
    </xf>
    <xf numFmtId="43" fontId="9" fillId="0" borderId="10" xfId="1" applyFont="1" applyBorder="1" applyAlignment="1">
      <alignment horizontal="right"/>
    </xf>
    <xf numFmtId="43" fontId="11" fillId="0" borderId="10" xfId="1" applyFont="1" applyBorder="1" applyAlignment="1" applyProtection="1">
      <alignment horizontal="right"/>
      <protection locked="0"/>
    </xf>
    <xf numFmtId="164" fontId="10" fillId="0" borderId="12" xfId="1" applyNumberFormat="1" applyFont="1" applyBorder="1" applyAlignment="1">
      <alignment horizontal="center" vertical="center"/>
    </xf>
    <xf numFmtId="43" fontId="10" fillId="0" borderId="14" xfId="1" applyFont="1" applyBorder="1" applyAlignment="1">
      <alignment horizontal="center" vertical="center"/>
    </xf>
    <xf numFmtId="43" fontId="3" fillId="2" borderId="12" xfId="0" applyNumberFormat="1" applyFont="1" applyFill="1" applyBorder="1"/>
    <xf numFmtId="43" fontId="3" fillId="2" borderId="13" xfId="0" applyNumberFormat="1" applyFont="1" applyFill="1" applyBorder="1"/>
    <xf numFmtId="0" fontId="0" fillId="0" borderId="15" xfId="0" applyBorder="1"/>
    <xf numFmtId="43" fontId="11" fillId="0" borderId="16" xfId="1" applyFont="1" applyBorder="1" applyAlignment="1" applyProtection="1">
      <alignment horizontal="right"/>
      <protection locked="0"/>
    </xf>
    <xf numFmtId="43" fontId="10" fillId="4" borderId="17" xfId="1" applyFont="1" applyFill="1" applyBorder="1" applyAlignment="1">
      <alignment horizontal="left" vertical="center"/>
    </xf>
    <xf numFmtId="43" fontId="10" fillId="0" borderId="18" xfId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Downloads/SABAH%20ALLEL.xlsb" TargetMode="External"/><Relationship Id="rId2" Type="http://schemas.openxmlformats.org/officeDocument/2006/relationships/externalLinkPath" Target="file:///C:\Users\user\Downloads\SABAH%20ALLEL.xlsb" TargetMode="External"/><Relationship Id="rId1" Type="http://schemas.openxmlformats.org/officeDocument/2006/relationships/externalLinkPath" Target="/Users/user/Downloads/SABAH%20ALLEL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Notes"/>
      <sheetName val="Revenues"/>
      <sheetName val="Cost of Sales"/>
      <sheetName val="Worksheet Only - Payroll"/>
      <sheetName val="Other Expenses - Mapping"/>
      <sheetName val="Common Other Expenses Only"/>
      <sheetName val="Key Monitor"/>
      <sheetName val="Restaurant Data"/>
      <sheetName val="P&amp;L Statement"/>
      <sheetName val="F&amp;B Revenue"/>
      <sheetName val="F&amp;B +O Expenses Apri l"/>
      <sheetName val="F&amp;B +O Expenses   May"/>
      <sheetName val="F&amp;B Outlet 12"/>
      <sheetName val="F&amp;B Outlet 13 (In Room)"/>
      <sheetName val="F&amp;B Outlet 14 (Banquet)"/>
      <sheetName val="Other Operated"/>
      <sheetName val="Ted &amp; Co"/>
      <sheetName val="Ticino"/>
      <sheetName val="Rest 5"/>
      <sheetName val="Rest 6"/>
      <sheetName val="Recreation"/>
      <sheetName val="Kids Club"/>
      <sheetName val="Retail Kiosk"/>
      <sheetName val="Golf"/>
      <sheetName val="Parking"/>
      <sheetName val="Generic Other Op"/>
      <sheetName val="Minor Operated"/>
      <sheetName val="Misc Income"/>
      <sheetName val="Non-Operating"/>
      <sheetName val="Staff Dining"/>
      <sheetName val="Payroll Index"/>
      <sheetName val="Payroll &amp; Related - Outsourced"/>
      <sheetName val="Sheet2"/>
      <sheetName val="F&amp;B +O Expenses  JUN"/>
      <sheetName val="F&amp;B +O Expenses   JULY"/>
      <sheetName val="F&amp;B +O Expenses AUG"/>
      <sheetName val="F&amp;B +O Expenses SEP"/>
      <sheetName val="F&amp;B +O Expenses  OCT"/>
      <sheetName val="F&amp;B +O Expenses  NOV"/>
      <sheetName val="F&amp;B +O Expenses  DEC"/>
      <sheetName val="F&amp;B +O Expenses  JAN"/>
      <sheetName val="F&amp;B +O Expenses  FEB"/>
      <sheetName val="F&amp;B +O Expenses December"/>
      <sheetName val="None - Operating Expenses"/>
      <sheetName val="Payroll &amp; Related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7">
          <cell r="C7" t="str">
            <v>SABAH ALLEAL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V109"/>
  <sheetViews>
    <sheetView tabSelected="1" workbookViewId="0">
      <selection activeCell="D3" sqref="D3:P5"/>
    </sheetView>
  </sheetViews>
  <sheetFormatPr defaultColWidth="9.140625" defaultRowHeight="12.75" x14ac:dyDescent="0.2"/>
  <cols>
    <col min="1" max="1" width="2.28515625" style="15" customWidth="1"/>
    <col min="2" max="2" width="47.28515625" style="15" bestFit="1" customWidth="1"/>
    <col min="3" max="3" width="38" style="15" bestFit="1" customWidth="1"/>
    <col min="4" max="4" width="19" style="15" customWidth="1"/>
    <col min="5" max="12" width="14" style="15" bestFit="1" customWidth="1"/>
    <col min="13" max="13" width="14.5703125" style="15" bestFit="1" customWidth="1"/>
    <col min="14" max="16" width="14" style="15" bestFit="1" customWidth="1"/>
    <col min="17" max="48" width="9.140625" style="1"/>
    <col min="49" max="16384" width="9.140625" style="15"/>
  </cols>
  <sheetData>
    <row r="1" spans="2:16" s="1" customFormat="1" x14ac:dyDescent="0.2">
      <c r="C1" s="2"/>
    </row>
    <row r="2" spans="2:16" s="1" customFormat="1" x14ac:dyDescent="0.2">
      <c r="C2" s="3"/>
    </row>
    <row r="3" spans="2:16" s="1" customFormat="1" ht="27.6" customHeight="1" x14ac:dyDescent="0.2">
      <c r="B3" s="4" t="str">
        <f>'[1]Restaurant Data'!$C$7</f>
        <v>SABAH ALLEAL</v>
      </c>
      <c r="C3" s="4"/>
      <c r="D3" s="5" t="s">
        <v>0</v>
      </c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2:16" s="1" customFormat="1" ht="19.5" x14ac:dyDescent="0.25">
      <c r="B4" s="6"/>
      <c r="C4" s="7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</row>
    <row r="5" spans="2:16" s="1" customFormat="1" ht="13.5" thickBot="1" x14ac:dyDescent="0.25">
      <c r="B5" s="8"/>
      <c r="C5" s="9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2:16" ht="40.9" customHeight="1" thickTop="1" thickBot="1" x14ac:dyDescent="0.25">
      <c r="B6" s="11" t="s">
        <v>1</v>
      </c>
      <c r="C6" s="12" t="s">
        <v>2</v>
      </c>
      <c r="D6" s="13" t="s">
        <v>3</v>
      </c>
      <c r="E6" s="14" t="s">
        <v>4</v>
      </c>
      <c r="F6" s="14" t="s">
        <v>5</v>
      </c>
      <c r="G6" s="14" t="s">
        <v>6</v>
      </c>
      <c r="H6" s="14" t="s">
        <v>7</v>
      </c>
      <c r="I6" s="14" t="s">
        <v>8</v>
      </c>
      <c r="J6" s="14" t="s">
        <v>9</v>
      </c>
      <c r="K6" s="14" t="s">
        <v>10</v>
      </c>
      <c r="L6" s="14" t="s">
        <v>11</v>
      </c>
      <c r="M6" s="14" t="s">
        <v>12</v>
      </c>
      <c r="N6" s="14" t="s">
        <v>13</v>
      </c>
      <c r="O6" s="14" t="s">
        <v>14</v>
      </c>
      <c r="P6" s="14" t="s">
        <v>15</v>
      </c>
    </row>
    <row r="7" spans="2:16" ht="25.15" customHeight="1" thickTop="1" x14ac:dyDescent="0.25">
      <c r="B7" s="16" t="s">
        <v>16</v>
      </c>
      <c r="C7" s="17" t="s">
        <v>17</v>
      </c>
      <c r="D7" s="18">
        <f t="shared" ref="D7:D21" si="0">SUM(E7:P7)</f>
        <v>13300.000000000002</v>
      </c>
      <c r="E7" s="19">
        <v>1108.3333333333333</v>
      </c>
      <c r="F7" s="19">
        <v>1108.3333333333333</v>
      </c>
      <c r="G7" s="19">
        <v>1108.3333333333333</v>
      </c>
      <c r="H7" s="19">
        <v>1108.3333333333333</v>
      </c>
      <c r="I7" s="19">
        <v>1108.3333333333333</v>
      </c>
      <c r="J7" s="19">
        <v>1108.3333333333333</v>
      </c>
      <c r="K7" s="19">
        <v>1108.3333333333333</v>
      </c>
      <c r="L7" s="19">
        <v>1108.3333333333333</v>
      </c>
      <c r="M7" s="19">
        <v>1108.3333333333333</v>
      </c>
      <c r="N7" s="19">
        <v>1108.3333333333333</v>
      </c>
      <c r="O7" s="19">
        <v>1108.3333333333333</v>
      </c>
      <c r="P7" s="19">
        <v>1108.3333333333333</v>
      </c>
    </row>
    <row r="8" spans="2:16" ht="25.15" customHeight="1" x14ac:dyDescent="0.25">
      <c r="B8" s="20" t="s">
        <v>18</v>
      </c>
      <c r="C8" s="21" t="s">
        <v>19</v>
      </c>
      <c r="D8" s="22">
        <f t="shared" si="0"/>
        <v>284352</v>
      </c>
      <c r="E8" s="23">
        <v>23696</v>
      </c>
      <c r="F8" s="23">
        <v>23696</v>
      </c>
      <c r="G8" s="23">
        <v>23696</v>
      </c>
      <c r="H8" s="23">
        <v>23696</v>
      </c>
      <c r="I8" s="23">
        <v>23696</v>
      </c>
      <c r="J8" s="23">
        <v>23696</v>
      </c>
      <c r="K8" s="23">
        <v>23696</v>
      </c>
      <c r="L8" s="23">
        <v>23696</v>
      </c>
      <c r="M8" s="23">
        <v>23696</v>
      </c>
      <c r="N8" s="23">
        <v>23696</v>
      </c>
      <c r="O8" s="23">
        <v>23696</v>
      </c>
      <c r="P8" s="23">
        <v>23696</v>
      </c>
    </row>
    <row r="9" spans="2:16" ht="25.15" customHeight="1" x14ac:dyDescent="0.25">
      <c r="B9" s="20" t="s">
        <v>20</v>
      </c>
      <c r="C9" s="21" t="s">
        <v>21</v>
      </c>
      <c r="D9" s="22">
        <f t="shared" si="0"/>
        <v>50004</v>
      </c>
      <c r="E9" s="23">
        <v>4167</v>
      </c>
      <c r="F9" s="23">
        <v>4167</v>
      </c>
      <c r="G9" s="23">
        <v>4167</v>
      </c>
      <c r="H9" s="23">
        <v>4167</v>
      </c>
      <c r="I9" s="23">
        <v>4167</v>
      </c>
      <c r="J9" s="23">
        <v>4167</v>
      </c>
      <c r="K9" s="23">
        <v>4167</v>
      </c>
      <c r="L9" s="23">
        <v>4167</v>
      </c>
      <c r="M9" s="23">
        <v>4167</v>
      </c>
      <c r="N9" s="23">
        <v>4167</v>
      </c>
      <c r="O9" s="23">
        <v>4167</v>
      </c>
      <c r="P9" s="23">
        <v>4167</v>
      </c>
    </row>
    <row r="10" spans="2:16" ht="25.15" customHeight="1" x14ac:dyDescent="0.25">
      <c r="B10" s="20" t="s">
        <v>22</v>
      </c>
      <c r="C10" s="21" t="s">
        <v>23</v>
      </c>
      <c r="D10" s="22">
        <f t="shared" si="0"/>
        <v>9000</v>
      </c>
      <c r="E10" s="23">
        <v>750</v>
      </c>
      <c r="F10" s="23">
        <v>750</v>
      </c>
      <c r="G10" s="23">
        <v>750</v>
      </c>
      <c r="H10" s="23">
        <v>750</v>
      </c>
      <c r="I10" s="23">
        <v>750</v>
      </c>
      <c r="J10" s="23">
        <v>750</v>
      </c>
      <c r="K10" s="23">
        <v>750</v>
      </c>
      <c r="L10" s="23">
        <v>750</v>
      </c>
      <c r="M10" s="23">
        <v>750</v>
      </c>
      <c r="N10" s="23">
        <v>750</v>
      </c>
      <c r="O10" s="23">
        <v>750</v>
      </c>
      <c r="P10" s="24">
        <v>750</v>
      </c>
    </row>
    <row r="11" spans="2:16" ht="25.15" customHeight="1" x14ac:dyDescent="0.25">
      <c r="B11" s="20" t="s">
        <v>24</v>
      </c>
      <c r="C11" s="21" t="s">
        <v>25</v>
      </c>
      <c r="D11" s="22">
        <f t="shared" si="0"/>
        <v>0</v>
      </c>
      <c r="E11" s="23">
        <v>0</v>
      </c>
      <c r="F11" s="23">
        <v>0</v>
      </c>
      <c r="G11" s="23">
        <v>0</v>
      </c>
      <c r="H11" s="23"/>
      <c r="I11" s="23"/>
      <c r="J11" s="23"/>
      <c r="K11" s="23"/>
      <c r="L11" s="23"/>
      <c r="M11" s="23"/>
      <c r="N11" s="23"/>
      <c r="O11" s="23"/>
      <c r="P11" s="24"/>
    </row>
    <row r="12" spans="2:16" ht="25.15" customHeight="1" x14ac:dyDescent="0.25">
      <c r="B12" s="20" t="s">
        <v>26</v>
      </c>
      <c r="C12" s="21" t="s">
        <v>27</v>
      </c>
      <c r="D12" s="22">
        <f t="shared" si="0"/>
        <v>16300.000000000002</v>
      </c>
      <c r="E12" s="23">
        <v>1358.3333333333333</v>
      </c>
      <c r="F12" s="23">
        <v>1358.3333333333333</v>
      </c>
      <c r="G12" s="23">
        <v>1358.3333333333333</v>
      </c>
      <c r="H12" s="23">
        <v>1358.3333333333333</v>
      </c>
      <c r="I12" s="23">
        <v>1358.3333333333333</v>
      </c>
      <c r="J12" s="23">
        <v>1358.3333333333333</v>
      </c>
      <c r="K12" s="23">
        <v>1358.3333333333333</v>
      </c>
      <c r="L12" s="23">
        <v>1358.3333333333333</v>
      </c>
      <c r="M12" s="23">
        <v>1358.3333333333333</v>
      </c>
      <c r="N12" s="23">
        <v>1358.3333333333333</v>
      </c>
      <c r="O12" s="23">
        <v>1358.3333333333333</v>
      </c>
      <c r="P12" s="24">
        <v>1358.3333333333333</v>
      </c>
    </row>
    <row r="13" spans="2:16" ht="25.15" customHeight="1" x14ac:dyDescent="0.25">
      <c r="B13" s="20" t="s">
        <v>28</v>
      </c>
      <c r="C13" s="21" t="s">
        <v>29</v>
      </c>
      <c r="D13" s="22">
        <f t="shared" si="0"/>
        <v>3000</v>
      </c>
      <c r="E13" s="23">
        <v>250</v>
      </c>
      <c r="F13" s="23">
        <v>250</v>
      </c>
      <c r="G13" s="23">
        <v>250</v>
      </c>
      <c r="H13" s="23">
        <v>250</v>
      </c>
      <c r="I13" s="23">
        <v>250</v>
      </c>
      <c r="J13" s="23">
        <v>250</v>
      </c>
      <c r="K13" s="23">
        <v>250</v>
      </c>
      <c r="L13" s="23">
        <v>250</v>
      </c>
      <c r="M13" s="23">
        <v>250</v>
      </c>
      <c r="N13" s="23">
        <v>250</v>
      </c>
      <c r="O13" s="23">
        <v>250</v>
      </c>
      <c r="P13" s="23">
        <v>250</v>
      </c>
    </row>
    <row r="14" spans="2:16" ht="25.15" customHeight="1" x14ac:dyDescent="0.25">
      <c r="B14" s="20" t="s">
        <v>30</v>
      </c>
      <c r="C14" s="25" t="s">
        <v>31</v>
      </c>
      <c r="D14" s="22">
        <f t="shared" si="0"/>
        <v>18000</v>
      </c>
      <c r="E14" s="23">
        <v>1500</v>
      </c>
      <c r="F14" s="23">
        <v>1500</v>
      </c>
      <c r="G14" s="23">
        <v>1500</v>
      </c>
      <c r="H14" s="23">
        <v>1500</v>
      </c>
      <c r="I14" s="23">
        <v>1500</v>
      </c>
      <c r="J14" s="23">
        <v>1500</v>
      </c>
      <c r="K14" s="23">
        <v>1500</v>
      </c>
      <c r="L14" s="23">
        <v>1500</v>
      </c>
      <c r="M14" s="23">
        <v>1500</v>
      </c>
      <c r="N14" s="23">
        <v>1500</v>
      </c>
      <c r="O14" s="23">
        <v>1500</v>
      </c>
      <c r="P14" s="23">
        <v>1500</v>
      </c>
    </row>
    <row r="15" spans="2:16" ht="25.15" customHeight="1" x14ac:dyDescent="0.25">
      <c r="B15" s="20" t="s">
        <v>32</v>
      </c>
      <c r="C15" s="26" t="s">
        <v>33</v>
      </c>
      <c r="D15" s="22">
        <f t="shared" si="0"/>
        <v>8000.0000000000009</v>
      </c>
      <c r="E15" s="23">
        <v>666.66666666666663</v>
      </c>
      <c r="F15" s="23">
        <v>666.66666666666663</v>
      </c>
      <c r="G15" s="23">
        <v>666.66666666666663</v>
      </c>
      <c r="H15" s="23">
        <v>666.66666666666663</v>
      </c>
      <c r="I15" s="23">
        <v>666.66666666666663</v>
      </c>
      <c r="J15" s="23">
        <v>666.66666666666663</v>
      </c>
      <c r="K15" s="23">
        <v>666.66666666666663</v>
      </c>
      <c r="L15" s="23">
        <v>666.66666666666663</v>
      </c>
      <c r="M15" s="23">
        <v>666.66666666666663</v>
      </c>
      <c r="N15" s="23">
        <v>666.66666666666663</v>
      </c>
      <c r="O15" s="23">
        <v>666.66666666666663</v>
      </c>
      <c r="P15" s="24">
        <v>666.66666666666663</v>
      </c>
    </row>
    <row r="16" spans="2:16" ht="25.15" customHeight="1" x14ac:dyDescent="0.25">
      <c r="B16" s="20" t="s">
        <v>34</v>
      </c>
      <c r="C16" s="26" t="s">
        <v>35</v>
      </c>
      <c r="D16" s="22">
        <f t="shared" si="0"/>
        <v>0</v>
      </c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4"/>
    </row>
    <row r="17" spans="2:16" ht="25.15" customHeight="1" x14ac:dyDescent="0.25">
      <c r="B17" s="20" t="s">
        <v>36</v>
      </c>
      <c r="C17" s="26" t="s">
        <v>37</v>
      </c>
      <c r="D17" s="22">
        <f t="shared" si="0"/>
        <v>7200</v>
      </c>
      <c r="E17" s="27">
        <v>600</v>
      </c>
      <c r="F17" s="27">
        <v>600</v>
      </c>
      <c r="G17" s="27">
        <v>600</v>
      </c>
      <c r="H17" s="27">
        <v>600</v>
      </c>
      <c r="I17" s="27">
        <v>600</v>
      </c>
      <c r="J17" s="27">
        <v>600</v>
      </c>
      <c r="K17" s="27">
        <v>600</v>
      </c>
      <c r="L17" s="27">
        <v>600</v>
      </c>
      <c r="M17" s="27">
        <v>600</v>
      </c>
      <c r="N17" s="27">
        <v>600</v>
      </c>
      <c r="O17" s="27">
        <v>600</v>
      </c>
      <c r="P17" s="27">
        <v>600</v>
      </c>
    </row>
    <row r="18" spans="2:16" ht="25.15" customHeight="1" x14ac:dyDescent="0.25">
      <c r="B18" s="20" t="s">
        <v>38</v>
      </c>
      <c r="C18" s="26" t="s">
        <v>39</v>
      </c>
      <c r="D18" s="22">
        <f t="shared" si="0"/>
        <v>24000</v>
      </c>
      <c r="E18" s="23">
        <v>2000</v>
      </c>
      <c r="F18" s="23">
        <v>2000</v>
      </c>
      <c r="G18" s="23">
        <v>2000</v>
      </c>
      <c r="H18" s="23">
        <v>2000</v>
      </c>
      <c r="I18" s="23">
        <v>2000</v>
      </c>
      <c r="J18" s="23">
        <v>2000</v>
      </c>
      <c r="K18" s="23">
        <v>2000</v>
      </c>
      <c r="L18" s="23">
        <v>2000</v>
      </c>
      <c r="M18" s="23">
        <v>2000</v>
      </c>
      <c r="N18" s="23">
        <v>2000</v>
      </c>
      <c r="O18" s="23">
        <v>2000</v>
      </c>
      <c r="P18" s="23">
        <v>2000</v>
      </c>
    </row>
    <row r="19" spans="2:16" ht="25.15" customHeight="1" thickBot="1" x14ac:dyDescent="0.3">
      <c r="B19" s="20" t="s">
        <v>40</v>
      </c>
      <c r="C19" s="26" t="s">
        <v>41</v>
      </c>
      <c r="D19" s="22">
        <f t="shared" si="0"/>
        <v>240000</v>
      </c>
      <c r="E19" s="28">
        <v>20000</v>
      </c>
      <c r="F19" s="28">
        <v>20000</v>
      </c>
      <c r="G19" s="28">
        <v>20000</v>
      </c>
      <c r="H19" s="28">
        <v>20000</v>
      </c>
      <c r="I19" s="28">
        <v>20000</v>
      </c>
      <c r="J19" s="28">
        <v>20000</v>
      </c>
      <c r="K19" s="28">
        <v>20000</v>
      </c>
      <c r="L19" s="28">
        <v>20000</v>
      </c>
      <c r="M19" s="28">
        <v>20000</v>
      </c>
      <c r="N19" s="28">
        <v>20000</v>
      </c>
      <c r="O19" s="28">
        <v>20000</v>
      </c>
      <c r="P19" s="28">
        <v>20000</v>
      </c>
    </row>
    <row r="20" spans="2:16" ht="25.15" customHeight="1" thickTop="1" x14ac:dyDescent="0.25">
      <c r="B20" s="20" t="s">
        <v>42</v>
      </c>
      <c r="C20" s="26" t="s">
        <v>43</v>
      </c>
      <c r="D20" s="22">
        <f t="shared" si="0"/>
        <v>12000</v>
      </c>
      <c r="E20" s="23">
        <v>1000</v>
      </c>
      <c r="F20" s="23">
        <v>1000</v>
      </c>
      <c r="G20" s="23">
        <v>1000</v>
      </c>
      <c r="H20" s="23">
        <v>1000</v>
      </c>
      <c r="I20" s="23">
        <v>1000</v>
      </c>
      <c r="J20" s="23">
        <v>1000</v>
      </c>
      <c r="K20" s="23">
        <v>1000</v>
      </c>
      <c r="L20" s="23">
        <v>1000</v>
      </c>
      <c r="M20" s="23">
        <v>1000</v>
      </c>
      <c r="N20" s="23">
        <v>1000</v>
      </c>
      <c r="O20" s="23">
        <v>1000</v>
      </c>
      <c r="P20" s="23">
        <v>1000</v>
      </c>
    </row>
    <row r="21" spans="2:16" ht="25.15" customHeight="1" x14ac:dyDescent="0.25">
      <c r="B21" s="20" t="s">
        <v>44</v>
      </c>
      <c r="C21" s="26" t="s">
        <v>45</v>
      </c>
      <c r="D21" s="22">
        <f t="shared" si="0"/>
        <v>0</v>
      </c>
      <c r="E21" s="29"/>
      <c r="F21" s="29"/>
      <c r="G21" s="29"/>
      <c r="H21" s="29"/>
      <c r="I21" s="29"/>
      <c r="J21" s="29"/>
      <c r="K21" s="29"/>
      <c r="L21" s="29"/>
      <c r="M21" s="29"/>
      <c r="N21" s="29"/>
      <c r="O21" s="29"/>
      <c r="P21" s="30"/>
    </row>
    <row r="22" spans="2:16" ht="25.15" customHeight="1" x14ac:dyDescent="0.25">
      <c r="B22" s="20"/>
      <c r="C22" s="26"/>
      <c r="D22" s="22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</row>
    <row r="23" spans="2:16" ht="25.15" customHeight="1" x14ac:dyDescent="0.25">
      <c r="B23" s="20"/>
      <c r="C23" s="26"/>
      <c r="D23" s="22"/>
      <c r="E23" s="29"/>
      <c r="F23" s="29"/>
      <c r="G23" s="29"/>
      <c r="H23" s="29"/>
      <c r="I23" s="29"/>
      <c r="J23" s="29"/>
      <c r="K23" s="29"/>
      <c r="L23" s="29"/>
      <c r="M23" s="29"/>
      <c r="N23" s="29"/>
      <c r="O23" s="29"/>
      <c r="P23" s="30"/>
    </row>
    <row r="24" spans="2:16" ht="25.15" customHeight="1" thickBot="1" x14ac:dyDescent="0.3">
      <c r="B24" s="31"/>
      <c r="C24" s="32"/>
      <c r="D24" s="33">
        <f>SUM(E24:P24)</f>
        <v>0</v>
      </c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34"/>
    </row>
    <row r="25" spans="2:16" s="1" customFormat="1" ht="13.5" thickTop="1" x14ac:dyDescent="0.2">
      <c r="C25" s="3"/>
    </row>
    <row r="26" spans="2:16" s="1" customFormat="1" x14ac:dyDescent="0.2">
      <c r="C26" s="3"/>
    </row>
    <row r="27" spans="2:16" s="1" customFormat="1" ht="15" x14ac:dyDescent="0.25">
      <c r="B27"/>
      <c r="C27" s="3"/>
    </row>
    <row r="28" spans="2:16" s="1" customFormat="1" x14ac:dyDescent="0.2">
      <c r="C28" s="3"/>
    </row>
    <row r="29" spans="2:16" ht="15" x14ac:dyDescent="0.25">
      <c r="B29"/>
    </row>
    <row r="30" spans="2:16" s="1" customFormat="1" x14ac:dyDescent="0.2">
      <c r="C30" s="3"/>
    </row>
    <row r="31" spans="2:16" s="1" customFormat="1" ht="15" x14ac:dyDescent="0.25">
      <c r="B31"/>
      <c r="C31" s="3"/>
    </row>
    <row r="32" spans="2:16" s="1" customFormat="1" x14ac:dyDescent="0.2">
      <c r="C32" s="3"/>
    </row>
    <row r="33" spans="2:3" s="1" customFormat="1" ht="15" x14ac:dyDescent="0.25">
      <c r="B33"/>
      <c r="C33" s="3"/>
    </row>
    <row r="34" spans="2:3" s="1" customFormat="1" x14ac:dyDescent="0.2">
      <c r="C34" s="3"/>
    </row>
    <row r="35" spans="2:3" s="1" customFormat="1" ht="15" x14ac:dyDescent="0.25">
      <c r="B35"/>
      <c r="C35" s="3"/>
    </row>
    <row r="36" spans="2:3" s="1" customFormat="1" x14ac:dyDescent="0.2">
      <c r="C36" s="3"/>
    </row>
    <row r="37" spans="2:3" s="1" customFormat="1" x14ac:dyDescent="0.2">
      <c r="C37" s="3"/>
    </row>
    <row r="38" spans="2:3" s="1" customFormat="1" x14ac:dyDescent="0.2">
      <c r="C38" s="3"/>
    </row>
    <row r="39" spans="2:3" s="1" customFormat="1" x14ac:dyDescent="0.2">
      <c r="C39" s="3"/>
    </row>
    <row r="40" spans="2:3" s="1" customFormat="1" x14ac:dyDescent="0.2">
      <c r="C40" s="3"/>
    </row>
    <row r="41" spans="2:3" s="1" customFormat="1" x14ac:dyDescent="0.2">
      <c r="C41" s="3"/>
    </row>
    <row r="42" spans="2:3" s="1" customFormat="1" x14ac:dyDescent="0.2">
      <c r="C42" s="3"/>
    </row>
    <row r="43" spans="2:3" s="1" customFormat="1" x14ac:dyDescent="0.2">
      <c r="C43" s="3"/>
    </row>
    <row r="44" spans="2:3" s="1" customFormat="1" x14ac:dyDescent="0.2"/>
    <row r="45" spans="2:3" s="1" customFormat="1" x14ac:dyDescent="0.2"/>
    <row r="46" spans="2:3" s="1" customFormat="1" x14ac:dyDescent="0.2"/>
    <row r="47" spans="2:3" s="1" customFormat="1" x14ac:dyDescent="0.2"/>
    <row r="48" spans="2:3" s="1" customFormat="1" x14ac:dyDescent="0.2"/>
    <row r="49" s="1" customFormat="1" x14ac:dyDescent="0.2"/>
    <row r="50" s="1" customFormat="1" x14ac:dyDescent="0.2"/>
    <row r="51" s="1" customFormat="1" x14ac:dyDescent="0.2"/>
    <row r="52" s="1" customFormat="1" x14ac:dyDescent="0.2"/>
    <row r="53" s="1" customFormat="1" x14ac:dyDescent="0.2"/>
    <row r="54" s="1" customFormat="1" x14ac:dyDescent="0.2"/>
    <row r="55" s="1" customFormat="1" x14ac:dyDescent="0.2"/>
    <row r="56" s="1" customFormat="1" x14ac:dyDescent="0.2"/>
    <row r="57" s="1" customFormat="1" x14ac:dyDescent="0.2"/>
    <row r="58" s="1" customFormat="1" x14ac:dyDescent="0.2"/>
    <row r="59" s="1" customFormat="1" x14ac:dyDescent="0.2"/>
    <row r="60" s="1" customFormat="1" x14ac:dyDescent="0.2"/>
    <row r="61" s="1" customFormat="1" x14ac:dyDescent="0.2"/>
    <row r="62" s="1" customFormat="1" x14ac:dyDescent="0.2"/>
    <row r="63" s="1" customFormat="1" x14ac:dyDescent="0.2"/>
    <row r="64" s="1" customFormat="1" x14ac:dyDescent="0.2"/>
    <row r="65" s="1" customFormat="1" x14ac:dyDescent="0.2"/>
    <row r="66" s="1" customFormat="1" x14ac:dyDescent="0.2"/>
    <row r="67" s="1" customFormat="1" x14ac:dyDescent="0.2"/>
    <row r="68" s="1" customFormat="1" x14ac:dyDescent="0.2"/>
    <row r="69" s="1" customFormat="1" x14ac:dyDescent="0.2"/>
    <row r="70" s="1" customFormat="1" x14ac:dyDescent="0.2"/>
    <row r="71" s="1" customFormat="1" x14ac:dyDescent="0.2"/>
    <row r="72" s="1" customFormat="1" x14ac:dyDescent="0.2"/>
    <row r="73" s="1" customFormat="1" x14ac:dyDescent="0.2"/>
    <row r="74" s="1" customFormat="1" x14ac:dyDescent="0.2"/>
    <row r="75" s="1" customFormat="1" x14ac:dyDescent="0.2"/>
    <row r="76" s="1" customFormat="1" x14ac:dyDescent="0.2"/>
    <row r="77" s="1" customFormat="1" x14ac:dyDescent="0.2"/>
    <row r="78" s="1" customFormat="1" x14ac:dyDescent="0.2"/>
    <row r="79" s="1" customFormat="1" x14ac:dyDescent="0.2"/>
    <row r="80" s="1" customFormat="1" x14ac:dyDescent="0.2"/>
    <row r="81" s="1" customFormat="1" x14ac:dyDescent="0.2"/>
    <row r="82" s="1" customFormat="1" x14ac:dyDescent="0.2"/>
    <row r="83" s="1" customFormat="1" x14ac:dyDescent="0.2"/>
    <row r="84" s="1" customFormat="1" x14ac:dyDescent="0.2"/>
    <row r="85" s="1" customFormat="1" x14ac:dyDescent="0.2"/>
    <row r="86" s="1" customFormat="1" x14ac:dyDescent="0.2"/>
    <row r="87" s="1" customFormat="1" x14ac:dyDescent="0.2"/>
    <row r="88" s="1" customFormat="1" x14ac:dyDescent="0.2"/>
    <row r="89" s="1" customFormat="1" x14ac:dyDescent="0.2"/>
    <row r="90" s="1" customFormat="1" x14ac:dyDescent="0.2"/>
    <row r="91" s="1" customFormat="1" x14ac:dyDescent="0.2"/>
    <row r="92" s="1" customFormat="1" x14ac:dyDescent="0.2"/>
    <row r="93" s="1" customFormat="1" x14ac:dyDescent="0.2"/>
    <row r="94" s="1" customFormat="1" x14ac:dyDescent="0.2"/>
    <row r="95" s="1" customFormat="1" x14ac:dyDescent="0.2"/>
    <row r="96" s="1" customFormat="1" x14ac:dyDescent="0.2"/>
    <row r="97" s="1" customFormat="1" x14ac:dyDescent="0.2"/>
    <row r="98" s="1" customFormat="1" x14ac:dyDescent="0.2"/>
    <row r="99" s="1" customFormat="1" x14ac:dyDescent="0.2"/>
    <row r="100" s="1" customFormat="1" x14ac:dyDescent="0.2"/>
    <row r="101" s="1" customFormat="1" x14ac:dyDescent="0.2"/>
    <row r="102" s="1" customFormat="1" x14ac:dyDescent="0.2"/>
    <row r="103" s="1" customFormat="1" x14ac:dyDescent="0.2"/>
    <row r="104" s="1" customFormat="1" x14ac:dyDescent="0.2"/>
    <row r="105" s="1" customFormat="1" x14ac:dyDescent="0.2"/>
    <row r="106" s="1" customFormat="1" x14ac:dyDescent="0.2"/>
    <row r="107" s="1" customFormat="1" x14ac:dyDescent="0.2"/>
    <row r="108" s="1" customFormat="1" x14ac:dyDescent="0.2"/>
    <row r="109" s="1" customFormat="1" x14ac:dyDescent="0.2"/>
  </sheetData>
  <mergeCells count="3">
    <mergeCell ref="B3:C3"/>
    <mergeCell ref="D3:P5"/>
    <mergeCell ref="B4:C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</dc:creator>
  <cp:lastModifiedBy>mohammad saleh</cp:lastModifiedBy>
  <dcterms:created xsi:type="dcterms:W3CDTF">2025-07-21T09:59:32Z</dcterms:created>
  <dcterms:modified xsi:type="dcterms:W3CDTF">2026-04-07T12:56:27Z</dcterms:modified>
</cp:coreProperties>
</file>