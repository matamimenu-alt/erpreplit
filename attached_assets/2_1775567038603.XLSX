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6656D88-025C-42FC-9B1B-AD91AF7AC4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P32" i="1"/>
  <c r="M32" i="1"/>
  <c r="L32" i="1"/>
  <c r="B32" i="1"/>
  <c r="T29" i="1"/>
  <c r="S29" i="1"/>
  <c r="K29" i="1"/>
  <c r="N29" i="1" s="1"/>
  <c r="O29" i="1" s="1"/>
  <c r="J29" i="1"/>
  <c r="Q29" i="1" s="1"/>
  <c r="U29" i="1" s="1"/>
  <c r="T28" i="1"/>
  <c r="S28" i="1"/>
  <c r="U28" i="1" s="1"/>
  <c r="V28" i="1" s="1"/>
  <c r="O28" i="1"/>
  <c r="N28" i="1"/>
  <c r="J28" i="1"/>
  <c r="T27" i="1"/>
  <c r="S27" i="1"/>
  <c r="K27" i="1"/>
  <c r="N27" i="1" s="1"/>
  <c r="O27" i="1" s="1"/>
  <c r="J27" i="1"/>
  <c r="Q27" i="1" s="1"/>
  <c r="T26" i="1"/>
  <c r="S26" i="1"/>
  <c r="K26" i="1"/>
  <c r="N26" i="1" s="1"/>
  <c r="O26" i="1" s="1"/>
  <c r="J26" i="1"/>
  <c r="Q26" i="1" s="1"/>
  <c r="U26" i="1" s="1"/>
  <c r="T25" i="1"/>
  <c r="S25" i="1"/>
  <c r="K25" i="1"/>
  <c r="J25" i="1"/>
  <c r="Q25" i="1" s="1"/>
  <c r="U25" i="1" s="1"/>
  <c r="T24" i="1"/>
  <c r="S24" i="1"/>
  <c r="N24" i="1"/>
  <c r="O24" i="1" s="1"/>
  <c r="J24" i="1"/>
  <c r="T23" i="1"/>
  <c r="S23" i="1"/>
  <c r="N23" i="1"/>
  <c r="O23" i="1" s="1"/>
  <c r="J23" i="1"/>
  <c r="T22" i="1"/>
  <c r="S22" i="1"/>
  <c r="U22" i="1" s="1"/>
  <c r="V22" i="1" s="1"/>
  <c r="O22" i="1"/>
  <c r="N22" i="1"/>
  <c r="J22" i="1"/>
  <c r="T21" i="1"/>
  <c r="S21" i="1"/>
  <c r="U21" i="1" s="1"/>
  <c r="V21" i="1" s="1"/>
  <c r="N21" i="1"/>
  <c r="O21" i="1" s="1"/>
  <c r="J21" i="1"/>
  <c r="T20" i="1"/>
  <c r="S20" i="1"/>
  <c r="N20" i="1"/>
  <c r="O20" i="1" s="1"/>
  <c r="J20" i="1"/>
  <c r="T19" i="1"/>
  <c r="S19" i="1"/>
  <c r="U19" i="1" s="1"/>
  <c r="V19" i="1" s="1"/>
  <c r="O19" i="1"/>
  <c r="N19" i="1"/>
  <c r="J19" i="1"/>
  <c r="T18" i="1"/>
  <c r="S18" i="1"/>
  <c r="K18" i="1"/>
  <c r="N18" i="1" s="1"/>
  <c r="O18" i="1" s="1"/>
  <c r="J18" i="1"/>
  <c r="Q18" i="1" s="1"/>
  <c r="T17" i="1"/>
  <c r="S17" i="1"/>
  <c r="U17" i="1" s="1"/>
  <c r="V17" i="1" s="1"/>
  <c r="N17" i="1"/>
  <c r="O17" i="1" s="1"/>
  <c r="J17" i="1"/>
  <c r="T16" i="1"/>
  <c r="S16" i="1"/>
  <c r="O16" i="1"/>
  <c r="N16" i="1"/>
  <c r="J16" i="1"/>
  <c r="T15" i="1"/>
  <c r="U15" i="1" s="1"/>
  <c r="V15" i="1" s="1"/>
  <c r="S15" i="1"/>
  <c r="N15" i="1"/>
  <c r="O15" i="1" s="1"/>
  <c r="J15" i="1"/>
  <c r="T14" i="1"/>
  <c r="S14" i="1"/>
  <c r="N14" i="1"/>
  <c r="O14" i="1" s="1"/>
  <c r="J14" i="1"/>
  <c r="T13" i="1"/>
  <c r="S13" i="1"/>
  <c r="O13" i="1"/>
  <c r="N13" i="1"/>
  <c r="J13" i="1"/>
  <c r="U12" i="1"/>
  <c r="V12" i="1" s="1"/>
  <c r="T12" i="1"/>
  <c r="S12" i="1"/>
  <c r="N12" i="1"/>
  <c r="O12" i="1" s="1"/>
  <c r="J12" i="1"/>
  <c r="T11" i="1"/>
  <c r="S11" i="1"/>
  <c r="U11" i="1" s="1"/>
  <c r="V11" i="1" s="1"/>
  <c r="N11" i="1"/>
  <c r="O11" i="1" s="1"/>
  <c r="J11" i="1"/>
  <c r="T10" i="1"/>
  <c r="S10" i="1"/>
  <c r="U10" i="1" s="1"/>
  <c r="V10" i="1" s="1"/>
  <c r="N10" i="1"/>
  <c r="O10" i="1" s="1"/>
  <c r="J10" i="1"/>
  <c r="T9" i="1"/>
  <c r="S9" i="1"/>
  <c r="S32" i="1" s="1"/>
  <c r="N9" i="1"/>
  <c r="O9" i="1" s="1"/>
  <c r="J9" i="1"/>
  <c r="T8" i="1"/>
  <c r="S8" i="1"/>
  <c r="U8" i="1" s="1"/>
  <c r="V8" i="1" s="1"/>
  <c r="N8" i="1"/>
  <c r="O8" i="1" s="1"/>
  <c r="J8" i="1"/>
  <c r="T7" i="1"/>
  <c r="S7" i="1"/>
  <c r="K7" i="1"/>
  <c r="N7" i="1" s="1"/>
  <c r="O7" i="1" s="1"/>
  <c r="J7" i="1"/>
  <c r="Q7" i="1" s="1"/>
  <c r="T5" i="1"/>
  <c r="N5" i="1"/>
  <c r="O5" i="1" s="1"/>
  <c r="K5" i="1"/>
  <c r="J5" i="1"/>
  <c r="U13" i="1" l="1"/>
  <c r="V13" i="1" s="1"/>
  <c r="U14" i="1"/>
  <c r="V14" i="1" s="1"/>
  <c r="U20" i="1"/>
  <c r="V20" i="1" s="1"/>
  <c r="K32" i="1"/>
  <c r="V29" i="1"/>
  <c r="J32" i="1"/>
  <c r="T32" i="1"/>
  <c r="U18" i="1"/>
  <c r="U23" i="1"/>
  <c r="V23" i="1" s="1"/>
  <c r="U24" i="1"/>
  <c r="V24" i="1" s="1"/>
  <c r="U27" i="1"/>
  <c r="V27" i="1" s="1"/>
  <c r="V26" i="1"/>
  <c r="U7" i="1"/>
  <c r="V7" i="1" s="1"/>
  <c r="U16" i="1"/>
  <c r="V16" i="1" s="1"/>
  <c r="V18" i="1"/>
  <c r="Q5" i="1"/>
  <c r="N25" i="1"/>
  <c r="O25" i="1" s="1"/>
  <c r="O32" i="1" s="1"/>
  <c r="U9" i="1"/>
  <c r="V9" i="1" s="1"/>
  <c r="N32" i="1" l="1"/>
  <c r="V25" i="1"/>
  <c r="U5" i="1"/>
  <c r="Q32" i="1"/>
  <c r="U32" i="1" l="1"/>
  <c r="V5" i="1"/>
  <c r="V32" i="1" s="1"/>
</calcChain>
</file>

<file path=xl/sharedStrings.xml><?xml version="1.0" encoding="utf-8"?>
<sst xmlns="http://schemas.openxmlformats.org/spreadsheetml/2006/main" count="72" uniqueCount="54">
  <si>
    <t>Salaries &amp; Wages</t>
  </si>
  <si>
    <t>Payroll Taxes</t>
  </si>
  <si>
    <t>Employees Benefits</t>
  </si>
  <si>
    <t>Designation</t>
  </si>
  <si>
    <t>Full Time</t>
  </si>
  <si>
    <t>Employee Name</t>
  </si>
  <si>
    <t>Nationality</t>
  </si>
  <si>
    <t>Joining Date</t>
  </si>
  <si>
    <t># of Months</t>
  </si>
  <si>
    <t>No Of Leaves</t>
  </si>
  <si>
    <t>B. Salary</t>
  </si>
  <si>
    <t>Total Salries &amp; Wages</t>
  </si>
  <si>
    <t>Social Security</t>
  </si>
  <si>
    <t>Labor Fees</t>
  </si>
  <si>
    <t>Iqama Renewal</t>
  </si>
  <si>
    <t>Total Payroll Taxes</t>
  </si>
  <si>
    <t>Medical Insurance</t>
  </si>
  <si>
    <t>Indemnity</t>
  </si>
  <si>
    <t>Air Ticket</t>
  </si>
  <si>
    <t>Annual Vacation</t>
  </si>
  <si>
    <t>Total Employees Benefits</t>
  </si>
  <si>
    <t>Total Labor Cost</t>
  </si>
  <si>
    <t>Food Meal</t>
  </si>
  <si>
    <t>Ex.chef</t>
  </si>
  <si>
    <t xml:space="preserve">ريم ابراهيم محمد بن هداب </t>
  </si>
  <si>
    <t>السعودية</t>
  </si>
  <si>
    <t>ثروت</t>
  </si>
  <si>
    <t>تركي</t>
  </si>
  <si>
    <t>موسين محمد ساجالا</t>
  </si>
  <si>
    <t>بنجلاديش</t>
  </si>
  <si>
    <t>شاهين حسين</t>
  </si>
  <si>
    <t>سومانتا داس</t>
  </si>
  <si>
    <t>مد اسرف</t>
  </si>
  <si>
    <t>اوسمان الي</t>
  </si>
  <si>
    <t>اريبون حسين</t>
  </si>
  <si>
    <t>مد حسن</t>
  </si>
  <si>
    <t>ميراج ميا</t>
  </si>
  <si>
    <t>مد راسيل</t>
  </si>
  <si>
    <t>انيك هسان</t>
  </si>
  <si>
    <t>علاء جاب الله</t>
  </si>
  <si>
    <t>مصر</t>
  </si>
  <si>
    <t>محمد فيصل</t>
  </si>
  <si>
    <t>فيصل العميسي</t>
  </si>
  <si>
    <t>اليمن</t>
  </si>
  <si>
    <t>سلطان الحداد</t>
  </si>
  <si>
    <t>مطهر بقار</t>
  </si>
  <si>
    <t xml:space="preserve">ايمن طه </t>
  </si>
  <si>
    <t>سهيل اسلام</t>
  </si>
  <si>
    <t>رضا احمد</t>
  </si>
  <si>
    <t>رجب حسين</t>
  </si>
  <si>
    <t>سيدالله جول زادا</t>
  </si>
  <si>
    <t>باكستان</t>
  </si>
  <si>
    <t>اسلام حاسيفول</t>
  </si>
  <si>
    <t xml:space="preserve">مد جمال الدين بوهيان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</si>
</sst>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dd\.mm\.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double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17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0" fontId="3" fillId="0" borderId="0" xfId="2" applyFont="1"/>
    <xf numFmtId="164" fontId="3" fillId="0" borderId="0" xfId="1" applyNumberFormat="1" applyFont="1" applyBorder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43" fontId="4" fillId="2" borderId="0" xfId="1" applyFont="1" applyFill="1" applyBorder="1" applyAlignment="1">
      <alignment horizontal="left" vertical="center"/>
    </xf>
    <xf numFmtId="164" fontId="4" fillId="2" borderId="0" xfId="1" applyNumberFormat="1" applyFont="1" applyFill="1" applyBorder="1" applyAlignment="1">
      <alignment horizontal="left" vertical="center" wrapText="1"/>
    </xf>
    <xf numFmtId="43" fontId="4" fillId="2" borderId="1" xfId="1" applyFont="1" applyFill="1" applyBorder="1" applyAlignment="1">
      <alignment horizontal="left" vertical="center" wrapText="1"/>
    </xf>
    <xf numFmtId="43" fontId="4" fillId="2" borderId="0" xfId="1" applyFont="1" applyFill="1" applyBorder="1" applyAlignment="1">
      <alignment horizontal="left" vertical="center" wrapText="1"/>
    </xf>
    <xf numFmtId="43" fontId="4" fillId="2" borderId="0" xfId="1" applyFont="1" applyFill="1" applyBorder="1" applyAlignment="1">
      <alignment horizontal="left" vertical="center" wrapText="1"/>
    </xf>
    <xf numFmtId="165" fontId="5" fillId="3" borderId="0" xfId="1" applyNumberFormat="1" applyFont="1" applyFill="1" applyBorder="1" applyAlignment="1">
      <alignment horizont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6" fontId="5" fillId="3" borderId="0" xfId="1" applyNumberFormat="1" applyFont="1" applyFill="1" applyBorder="1" applyAlignment="1">
      <alignment horizontal="center"/>
    </xf>
    <xf numFmtId="164" fontId="5" fillId="3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vertical="center" wrapText="1"/>
    </xf>
    <xf numFmtId="43" fontId="5" fillId="3" borderId="0" xfId="1" applyFont="1" applyFill="1" applyBorder="1" applyAlignment="1">
      <alignment horizontal="center"/>
    </xf>
    <xf numFmtId="43" fontId="5" fillId="4" borderId="1" xfId="1" applyFont="1" applyFill="1" applyBorder="1" applyAlignment="1">
      <alignment horizontal="center"/>
    </xf>
    <xf numFmtId="43" fontId="5" fillId="3" borderId="0" xfId="1" applyFont="1" applyFill="1" applyBorder="1" applyAlignment="1"/>
    <xf numFmtId="43" fontId="5" fillId="4" borderId="0" xfId="1" applyFont="1" applyFill="1" applyBorder="1" applyAlignment="1">
      <alignment horizontal="right"/>
    </xf>
    <xf numFmtId="43" fontId="4" fillId="4" borderId="0" xfId="1" applyFont="1" applyFill="1" applyBorder="1" applyAlignment="1">
      <alignment horizontal="right"/>
    </xf>
    <xf numFmtId="43" fontId="5" fillId="3" borderId="0" xfId="1" applyFont="1" applyFill="1" applyBorder="1" applyAlignment="1">
      <alignment horizontal="left"/>
    </xf>
    <xf numFmtId="43" fontId="5" fillId="5" borderId="0" xfId="1" applyFont="1" applyFill="1" applyBorder="1" applyAlignment="1">
      <alignment horizontal="left"/>
    </xf>
    <xf numFmtId="165" fontId="5" fillId="5" borderId="0" xfId="1" applyNumberFormat="1" applyFont="1" applyFill="1" applyBorder="1" applyAlignment="1">
      <alignment horizontal="center"/>
    </xf>
    <xf numFmtId="0" fontId="0" fillId="6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166" fontId="5" fillId="5" borderId="0" xfId="1" applyNumberFormat="1" applyFont="1" applyFill="1" applyBorder="1" applyAlignment="1">
      <alignment horizontal="center"/>
    </xf>
    <xf numFmtId="164" fontId="5" fillId="5" borderId="0" xfId="1" applyNumberFormat="1" applyFont="1" applyFill="1" applyBorder="1" applyAlignment="1">
      <alignment horizontal="center"/>
    </xf>
    <xf numFmtId="3" fontId="0" fillId="5" borderId="0" xfId="0" applyNumberFormat="1" applyFill="1" applyAlignment="1">
      <alignment vertical="center" wrapText="1"/>
    </xf>
    <xf numFmtId="43" fontId="5" fillId="5" borderId="0" xfId="1" applyFont="1" applyFill="1" applyBorder="1" applyAlignment="1">
      <alignment horizontal="center"/>
    </xf>
    <xf numFmtId="43" fontId="5" fillId="5" borderId="1" xfId="1" applyFont="1" applyFill="1" applyBorder="1" applyAlignment="1">
      <alignment horizontal="center"/>
    </xf>
    <xf numFmtId="43" fontId="5" fillId="5" borderId="0" xfId="1" applyFont="1" applyFill="1" applyBorder="1" applyAlignment="1"/>
    <xf numFmtId="43" fontId="5" fillId="5" borderId="0" xfId="1" applyFont="1" applyFill="1" applyBorder="1" applyAlignment="1">
      <alignment horizontal="right"/>
    </xf>
    <xf numFmtId="43" fontId="4" fillId="5" borderId="0" xfId="1" applyFont="1" applyFill="1" applyBorder="1" applyAlignment="1">
      <alignment horizontal="right"/>
    </xf>
    <xf numFmtId="43" fontId="6" fillId="3" borderId="0" xfId="1" applyFont="1" applyFill="1" applyBorder="1" applyAlignment="1">
      <alignment horizontal="left"/>
    </xf>
    <xf numFmtId="165" fontId="6" fillId="3" borderId="0" xfId="1" applyNumberFormat="1" applyFont="1" applyFill="1" applyBorder="1" applyAlignment="1">
      <alignment horizontal="center"/>
    </xf>
    <xf numFmtId="0" fontId="1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3" fontId="6" fillId="3" borderId="0" xfId="1" applyFont="1" applyFill="1" applyBorder="1" applyAlignment="1">
      <alignment horizontal="center"/>
    </xf>
    <xf numFmtId="164" fontId="6" fillId="3" borderId="0" xfId="1" applyNumberFormat="1" applyFont="1" applyFill="1" applyBorder="1" applyAlignment="1">
      <alignment horizontal="center"/>
    </xf>
    <xf numFmtId="3" fontId="1" fillId="0" borderId="0" xfId="0" applyNumberFormat="1" applyFont="1" applyAlignment="1">
      <alignment vertical="center" wrapText="1"/>
    </xf>
    <xf numFmtId="43" fontId="6" fillId="4" borderId="1" xfId="1" applyFont="1" applyFill="1" applyBorder="1" applyAlignment="1">
      <alignment horizontal="center"/>
    </xf>
    <xf numFmtId="43" fontId="6" fillId="3" borderId="0" xfId="1" applyFont="1" applyFill="1" applyBorder="1" applyAlignment="1"/>
    <xf numFmtId="43" fontId="6" fillId="4" borderId="0" xfId="1" applyFont="1" applyFill="1" applyBorder="1" applyAlignment="1">
      <alignment horizontal="right"/>
    </xf>
    <xf numFmtId="43" fontId="7" fillId="4" borderId="0" xfId="1" applyFont="1" applyFill="1" applyBorder="1" applyAlignment="1">
      <alignment horizontal="right"/>
    </xf>
    <xf numFmtId="43" fontId="4" fillId="7" borderId="0" xfId="1" applyFont="1" applyFill="1" applyBorder="1" applyAlignment="1">
      <alignment horizontal="center"/>
    </xf>
    <xf numFmtId="164" fontId="4" fillId="7" borderId="0" xfId="1" applyNumberFormat="1" applyFont="1" applyFill="1" applyBorder="1" applyAlignment="1">
      <alignment horizontal="center"/>
    </xf>
    <xf numFmtId="43" fontId="4" fillId="7" borderId="0" xfId="1" applyFont="1" applyFill="1" applyBorder="1" applyAlignment="1">
      <alignment horizontal="left"/>
    </xf>
    <xf numFmtId="43" fontId="4" fillId="7" borderId="1" xfId="1" applyFont="1" applyFill="1" applyBorder="1" applyAlignment="1">
      <alignment horizontal="center"/>
    </xf>
    <xf numFmtId="164" fontId="3" fillId="0" borderId="0" xfId="1" applyNumberFormat="1" applyFont="1" applyBorder="1"/>
    <xf numFmtId="43" fontId="3" fillId="0" borderId="1" xfId="2" applyNumberFormat="1" applyFont="1" applyBorder="1"/>
    <xf numFmtId="43" fontId="3" fillId="0" borderId="0" xfId="2" applyNumberFormat="1" applyFont="1"/>
  </cellXfs>
  <cellStyles count="3">
    <cellStyle name="Comma" xfId="1" builtinId="3"/>
    <cellStyle name="Normal" xfId="0" builtinId="0"/>
    <cellStyle name="Normal 4 2" xfId="2" xr:uid="{658CE434-6619-4956-826C-D1FE54D50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zoomScale="55" zoomScaleNormal="55" workbookViewId="0">
      <selection activeCell="X4" sqref="X4"/>
    </sheetView>
  </sheetViews>
  <sheetFormatPr defaultRowHeight="15" x14ac:dyDescent="0.25"/>
  <cols>
    <col min="2" max="2" width="12.5703125" bestFit="1" customWidth="1"/>
    <col min="3" max="3" width="21.42578125" bestFit="1" customWidth="1"/>
    <col min="10" max="10" width="26.5703125" bestFit="1" customWidth="1"/>
    <col min="14" max="14" width="24.28515625" bestFit="1" customWidth="1"/>
    <col min="15" max="15" width="15" bestFit="1" customWidth="1"/>
    <col min="20" max="20" width="20.7109375" bestFit="1" customWidth="1"/>
    <col min="21" max="21" width="31" bestFit="1" customWidth="1"/>
    <col min="22" max="22" width="20.85546875" bestFit="1" customWidth="1"/>
  </cols>
  <sheetData>
    <row r="1" spans="1:22" ht="35.25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8.25" x14ac:dyDescent="0.25">
      <c r="A2" s="3"/>
      <c r="B2" s="4"/>
      <c r="C2" s="3"/>
      <c r="D2" s="3"/>
      <c r="E2" s="3"/>
      <c r="F2" s="5" t="s">
        <v>0</v>
      </c>
      <c r="G2" s="5"/>
      <c r="H2" s="5"/>
      <c r="I2" s="5"/>
      <c r="J2" s="3"/>
      <c r="K2" s="6" t="s">
        <v>1</v>
      </c>
      <c r="L2" s="6"/>
      <c r="M2" s="6"/>
      <c r="N2" s="3"/>
      <c r="O2" s="3"/>
      <c r="P2" s="6" t="s">
        <v>2</v>
      </c>
      <c r="Q2" s="6"/>
      <c r="R2" s="6"/>
      <c r="S2" s="6"/>
      <c r="T2" s="6"/>
      <c r="U2" s="3"/>
      <c r="V2" s="3"/>
    </row>
    <row r="3" spans="1:22" x14ac:dyDescent="0.25">
      <c r="A3" s="7" t="s">
        <v>3</v>
      </c>
      <c r="B3" s="8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8" t="s">
        <v>9</v>
      </c>
      <c r="H3" s="8" t="s">
        <v>10</v>
      </c>
      <c r="I3" s="8"/>
      <c r="J3" s="9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1"/>
      <c r="P3" s="10" t="s">
        <v>16</v>
      </c>
      <c r="Q3" s="10" t="s">
        <v>17</v>
      </c>
      <c r="R3" s="11"/>
      <c r="S3" s="10" t="s">
        <v>18</v>
      </c>
      <c r="T3" s="10" t="s">
        <v>19</v>
      </c>
      <c r="U3" s="10" t="s">
        <v>20</v>
      </c>
      <c r="V3" s="10" t="s">
        <v>21</v>
      </c>
    </row>
    <row r="4" spans="1:22" ht="55.5" customHeight="1" x14ac:dyDescent="0.25">
      <c r="A4" s="7"/>
      <c r="B4" s="8"/>
      <c r="C4" s="7"/>
      <c r="D4" s="7"/>
      <c r="E4" s="7"/>
      <c r="F4" s="8"/>
      <c r="G4" s="8"/>
      <c r="H4" s="8"/>
      <c r="I4" s="8"/>
      <c r="J4" s="9"/>
      <c r="K4" s="10"/>
      <c r="L4" s="10"/>
      <c r="M4" s="10"/>
      <c r="N4" s="10"/>
      <c r="O4" s="11"/>
      <c r="P4" s="10"/>
      <c r="Q4" s="10"/>
      <c r="R4" s="11" t="s">
        <v>22</v>
      </c>
      <c r="S4" s="10"/>
      <c r="T4" s="10"/>
      <c r="U4" s="10"/>
      <c r="V4" s="10"/>
    </row>
    <row r="5" spans="1:22" ht="45" x14ac:dyDescent="0.25">
      <c r="A5" s="23" t="s">
        <v>23</v>
      </c>
      <c r="B5" s="12">
        <v>1</v>
      </c>
      <c r="C5" s="13" t="s">
        <v>24</v>
      </c>
      <c r="D5" s="14" t="s">
        <v>25</v>
      </c>
      <c r="E5" s="15"/>
      <c r="F5" s="16">
        <v>12</v>
      </c>
      <c r="G5" s="16">
        <v>21</v>
      </c>
      <c r="H5" s="17">
        <v>2050</v>
      </c>
      <c r="I5" s="18"/>
      <c r="J5" s="19">
        <f>SUM(H5:I5)</f>
        <v>2050</v>
      </c>
      <c r="K5" s="20">
        <f>(H5+B5)*0.22*B5</f>
        <v>451.22</v>
      </c>
      <c r="L5" s="20">
        <v>0</v>
      </c>
      <c r="M5" s="20">
        <v>0</v>
      </c>
      <c r="N5" s="21">
        <f>SUM(K5:M5)</f>
        <v>451.22</v>
      </c>
      <c r="O5" s="21">
        <f>N5*12</f>
        <v>5414.64</v>
      </c>
      <c r="P5" s="20">
        <v>65.2</v>
      </c>
      <c r="Q5" s="20">
        <f>(J5)/360*15*B5</f>
        <v>85.416666666666671</v>
      </c>
      <c r="R5" s="20">
        <v>0</v>
      </c>
      <c r="S5" s="20">
        <v>0</v>
      </c>
      <c r="T5" s="20">
        <f>(H5)/12*B5</f>
        <v>170.83333333333334</v>
      </c>
      <c r="U5" s="21">
        <f>SUM(P5:T5)</f>
        <v>321.45000000000005</v>
      </c>
      <c r="V5" s="22">
        <f>U5+N5+J5</f>
        <v>2822.67</v>
      </c>
    </row>
    <row r="6" spans="1:22" x14ac:dyDescent="0.25">
      <c r="A6" s="24"/>
      <c r="B6" s="25"/>
      <c r="C6" s="26"/>
      <c r="D6" s="27"/>
      <c r="E6" s="28"/>
      <c r="F6" s="29"/>
      <c r="G6" s="29"/>
      <c r="H6" s="30"/>
      <c r="I6" s="31"/>
      <c r="J6" s="32"/>
      <c r="K6" s="33"/>
      <c r="L6" s="34"/>
      <c r="M6" s="34"/>
      <c r="N6" s="34"/>
      <c r="O6" s="33"/>
      <c r="P6" s="20"/>
      <c r="Q6" s="33"/>
      <c r="R6" s="33"/>
      <c r="S6" s="33"/>
      <c r="T6" s="33"/>
      <c r="U6" s="34"/>
      <c r="V6" s="35"/>
    </row>
    <row r="7" spans="1:22" x14ac:dyDescent="0.25">
      <c r="A7" s="23"/>
      <c r="B7" s="12">
        <v>1</v>
      </c>
      <c r="C7" s="13" t="s">
        <v>26</v>
      </c>
      <c r="D7" s="14" t="s">
        <v>27</v>
      </c>
      <c r="E7" s="15"/>
      <c r="F7" s="16">
        <v>12</v>
      </c>
      <c r="G7" s="16">
        <v>21</v>
      </c>
      <c r="H7" s="17">
        <v>6500</v>
      </c>
      <c r="I7" s="18"/>
      <c r="J7" s="19">
        <f t="shared" ref="J7:J25" si="0">SUM(H7:I7)</f>
        <v>6500</v>
      </c>
      <c r="K7" s="20">
        <f>(H7+B7)*0.02*B7</f>
        <v>130.02000000000001</v>
      </c>
      <c r="L7" s="20">
        <v>800</v>
      </c>
      <c r="M7" s="20">
        <v>54.165999999999997</v>
      </c>
      <c r="N7" s="21">
        <f>SUM(K7:M7)</f>
        <v>984.18599999999992</v>
      </c>
      <c r="O7" s="21">
        <f t="shared" ref="O7:O29" si="1">N7*12</f>
        <v>11810.232</v>
      </c>
      <c r="P7" s="20">
        <v>65.2</v>
      </c>
      <c r="Q7" s="20">
        <f>(J7)/360*15*B7</f>
        <v>270.83333333333337</v>
      </c>
      <c r="R7" s="20"/>
      <c r="S7" s="20">
        <f>+(1750)/24</f>
        <v>72.916666666666671</v>
      </c>
      <c r="T7" s="20">
        <f>(H7)/12*B7</f>
        <v>541.66666666666663</v>
      </c>
      <c r="U7" s="21">
        <f t="shared" ref="U7:U25" si="2">SUM(P7:T7)</f>
        <v>950.61666666666667</v>
      </c>
      <c r="V7" s="22">
        <f t="shared" ref="V7:V25" si="3">U7+N7+J7</f>
        <v>8434.8026666666665</v>
      </c>
    </row>
    <row r="8" spans="1:22" ht="45" x14ac:dyDescent="0.25">
      <c r="A8" s="23"/>
      <c r="B8" s="12">
        <v>1</v>
      </c>
      <c r="C8" s="13" t="s">
        <v>28</v>
      </c>
      <c r="D8" s="14" t="s">
        <v>29</v>
      </c>
      <c r="E8" s="15"/>
      <c r="F8" s="16">
        <v>12</v>
      </c>
      <c r="G8" s="16">
        <v>21</v>
      </c>
      <c r="H8" s="17">
        <v>1500</v>
      </c>
      <c r="I8" s="18"/>
      <c r="J8" s="19">
        <f t="shared" si="0"/>
        <v>1500</v>
      </c>
      <c r="K8" s="20"/>
      <c r="L8" s="20"/>
      <c r="M8" s="20"/>
      <c r="N8" s="21">
        <f>SUM(K8:M8)</f>
        <v>0</v>
      </c>
      <c r="O8" s="21">
        <f t="shared" si="1"/>
        <v>0</v>
      </c>
      <c r="P8" s="20"/>
      <c r="Q8" s="20"/>
      <c r="R8" s="20"/>
      <c r="S8" s="20">
        <f t="shared" ref="S8:S28" si="4">+(1750)/24</f>
        <v>72.916666666666671</v>
      </c>
      <c r="T8" s="20">
        <f>(H8)/12*B8</f>
        <v>125</v>
      </c>
      <c r="U8" s="21">
        <f t="shared" si="2"/>
        <v>197.91666666666669</v>
      </c>
      <c r="V8" s="22">
        <f t="shared" si="3"/>
        <v>1697.9166666666667</v>
      </c>
    </row>
    <row r="9" spans="1:22" ht="30" x14ac:dyDescent="0.25">
      <c r="A9" s="23"/>
      <c r="B9" s="12">
        <v>1</v>
      </c>
      <c r="C9" s="13" t="s">
        <v>30</v>
      </c>
      <c r="D9" s="14" t="s">
        <v>29</v>
      </c>
      <c r="E9" s="15"/>
      <c r="F9" s="16">
        <v>12</v>
      </c>
      <c r="G9" s="16">
        <v>21</v>
      </c>
      <c r="H9" s="17">
        <v>1500</v>
      </c>
      <c r="I9" s="18"/>
      <c r="J9" s="19">
        <f t="shared" si="0"/>
        <v>1500</v>
      </c>
      <c r="K9" s="20"/>
      <c r="L9" s="20"/>
      <c r="M9" s="20"/>
      <c r="N9" s="21">
        <f>SUM(K9:M9)</f>
        <v>0</v>
      </c>
      <c r="O9" s="21">
        <f t="shared" si="1"/>
        <v>0</v>
      </c>
      <c r="P9" s="20"/>
      <c r="Q9" s="20"/>
      <c r="R9" s="20"/>
      <c r="S9" s="20">
        <f t="shared" si="4"/>
        <v>72.916666666666671</v>
      </c>
      <c r="T9" s="20">
        <f>(H9)/12*B9</f>
        <v>125</v>
      </c>
      <c r="U9" s="21">
        <f t="shared" si="2"/>
        <v>197.91666666666669</v>
      </c>
      <c r="V9" s="22">
        <f t="shared" si="3"/>
        <v>1697.9166666666667</v>
      </c>
    </row>
    <row r="10" spans="1:22" ht="30" x14ac:dyDescent="0.25">
      <c r="A10" s="23"/>
      <c r="B10" s="12">
        <v>1</v>
      </c>
      <c r="C10" s="13" t="s">
        <v>31</v>
      </c>
      <c r="D10" s="14" t="s">
        <v>29</v>
      </c>
      <c r="E10" s="15"/>
      <c r="F10" s="16">
        <v>12</v>
      </c>
      <c r="G10" s="16">
        <v>21</v>
      </c>
      <c r="H10" s="17">
        <v>1700</v>
      </c>
      <c r="I10" s="18"/>
      <c r="J10" s="19">
        <f t="shared" si="0"/>
        <v>1700</v>
      </c>
      <c r="K10" s="20"/>
      <c r="L10" s="20"/>
      <c r="M10" s="20"/>
      <c r="N10" s="21">
        <f t="shared" ref="N10:N29" si="5">SUM(K10:M10)</f>
        <v>0</v>
      </c>
      <c r="O10" s="21">
        <f t="shared" si="1"/>
        <v>0</v>
      </c>
      <c r="P10" s="20"/>
      <c r="Q10" s="20"/>
      <c r="R10" s="20"/>
      <c r="S10" s="20">
        <f t="shared" si="4"/>
        <v>72.916666666666671</v>
      </c>
      <c r="T10" s="20">
        <f t="shared" ref="T10:T29" si="6">(H10)/12*B10</f>
        <v>141.66666666666666</v>
      </c>
      <c r="U10" s="21">
        <f t="shared" si="2"/>
        <v>214.58333333333331</v>
      </c>
      <c r="V10" s="22">
        <f t="shared" si="3"/>
        <v>1914.5833333333333</v>
      </c>
    </row>
    <row r="11" spans="1:22" x14ac:dyDescent="0.25">
      <c r="A11" s="23"/>
      <c r="B11" s="12">
        <v>1</v>
      </c>
      <c r="C11" s="13" t="s">
        <v>32</v>
      </c>
      <c r="D11" s="14" t="s">
        <v>29</v>
      </c>
      <c r="E11" s="15"/>
      <c r="F11" s="16">
        <v>12</v>
      </c>
      <c r="G11" s="16">
        <v>21</v>
      </c>
      <c r="H11" s="17">
        <v>1500</v>
      </c>
      <c r="I11" s="18"/>
      <c r="J11" s="19">
        <f t="shared" si="0"/>
        <v>1500</v>
      </c>
      <c r="K11" s="20"/>
      <c r="L11" s="20"/>
      <c r="M11" s="20"/>
      <c r="N11" s="21">
        <f t="shared" si="5"/>
        <v>0</v>
      </c>
      <c r="O11" s="21">
        <f t="shared" si="1"/>
        <v>0</v>
      </c>
      <c r="P11" s="20"/>
      <c r="Q11" s="20"/>
      <c r="R11" s="20"/>
      <c r="S11" s="20">
        <f t="shared" si="4"/>
        <v>72.916666666666671</v>
      </c>
      <c r="T11" s="20">
        <f t="shared" si="6"/>
        <v>125</v>
      </c>
      <c r="U11" s="21">
        <f t="shared" si="2"/>
        <v>197.91666666666669</v>
      </c>
      <c r="V11" s="22">
        <f t="shared" si="3"/>
        <v>1697.9166666666667</v>
      </c>
    </row>
    <row r="12" spans="1:22" x14ac:dyDescent="0.25">
      <c r="A12" s="23"/>
      <c r="B12" s="12">
        <v>1</v>
      </c>
      <c r="C12" s="13" t="s">
        <v>33</v>
      </c>
      <c r="D12" s="14" t="s">
        <v>29</v>
      </c>
      <c r="E12" s="15"/>
      <c r="F12" s="16">
        <v>12</v>
      </c>
      <c r="G12" s="16">
        <v>21</v>
      </c>
      <c r="H12" s="17">
        <v>1500</v>
      </c>
      <c r="I12" s="18"/>
      <c r="J12" s="19">
        <f t="shared" si="0"/>
        <v>1500</v>
      </c>
      <c r="K12" s="20"/>
      <c r="L12" s="20"/>
      <c r="M12" s="20"/>
      <c r="N12" s="21">
        <f t="shared" si="5"/>
        <v>0</v>
      </c>
      <c r="O12" s="21">
        <f t="shared" si="1"/>
        <v>0</v>
      </c>
      <c r="P12" s="20"/>
      <c r="Q12" s="20"/>
      <c r="R12" s="20"/>
      <c r="S12" s="20">
        <f t="shared" si="4"/>
        <v>72.916666666666671</v>
      </c>
      <c r="T12" s="20">
        <f t="shared" si="6"/>
        <v>125</v>
      </c>
      <c r="U12" s="21">
        <f t="shared" si="2"/>
        <v>197.91666666666669</v>
      </c>
      <c r="V12" s="22">
        <f t="shared" si="3"/>
        <v>1697.9166666666667</v>
      </c>
    </row>
    <row r="13" spans="1:22" ht="30" x14ac:dyDescent="0.25">
      <c r="A13" s="23"/>
      <c r="B13" s="12">
        <v>1</v>
      </c>
      <c r="C13" s="13" t="s">
        <v>34</v>
      </c>
      <c r="D13" s="14" t="s">
        <v>29</v>
      </c>
      <c r="E13" s="15"/>
      <c r="F13" s="16">
        <v>12</v>
      </c>
      <c r="G13" s="16">
        <v>21</v>
      </c>
      <c r="H13" s="17">
        <v>1500</v>
      </c>
      <c r="I13" s="18"/>
      <c r="J13" s="19">
        <f t="shared" si="0"/>
        <v>1500</v>
      </c>
      <c r="K13" s="20"/>
      <c r="L13" s="20"/>
      <c r="M13" s="20"/>
      <c r="N13" s="21">
        <f t="shared" si="5"/>
        <v>0</v>
      </c>
      <c r="O13" s="21">
        <f t="shared" si="1"/>
        <v>0</v>
      </c>
      <c r="P13" s="20"/>
      <c r="Q13" s="20"/>
      <c r="R13" s="20"/>
      <c r="S13" s="20">
        <f t="shared" si="4"/>
        <v>72.916666666666671</v>
      </c>
      <c r="T13" s="20">
        <f t="shared" si="6"/>
        <v>125</v>
      </c>
      <c r="U13" s="21">
        <f t="shared" si="2"/>
        <v>197.91666666666669</v>
      </c>
      <c r="V13" s="22">
        <f t="shared" si="3"/>
        <v>1697.9166666666667</v>
      </c>
    </row>
    <row r="14" spans="1:22" x14ac:dyDescent="0.25">
      <c r="A14" s="23"/>
      <c r="B14" s="12">
        <v>1</v>
      </c>
      <c r="C14" s="13" t="s">
        <v>35</v>
      </c>
      <c r="D14" s="14" t="s">
        <v>29</v>
      </c>
      <c r="E14" s="15"/>
      <c r="F14" s="16">
        <v>12</v>
      </c>
      <c r="G14" s="16">
        <v>21</v>
      </c>
      <c r="H14" s="17">
        <v>1500</v>
      </c>
      <c r="I14" s="18"/>
      <c r="J14" s="19">
        <f t="shared" si="0"/>
        <v>1500</v>
      </c>
      <c r="K14" s="20"/>
      <c r="L14" s="20"/>
      <c r="M14" s="20"/>
      <c r="N14" s="21">
        <f t="shared" si="5"/>
        <v>0</v>
      </c>
      <c r="O14" s="21">
        <f t="shared" si="1"/>
        <v>0</v>
      </c>
      <c r="P14" s="20"/>
      <c r="Q14" s="20"/>
      <c r="R14" s="20"/>
      <c r="S14" s="20">
        <f t="shared" si="4"/>
        <v>72.916666666666671</v>
      </c>
      <c r="T14" s="20">
        <f t="shared" si="6"/>
        <v>125</v>
      </c>
      <c r="U14" s="21">
        <f t="shared" si="2"/>
        <v>197.91666666666669</v>
      </c>
      <c r="V14" s="22">
        <f t="shared" si="3"/>
        <v>1697.9166666666667</v>
      </c>
    </row>
    <row r="15" spans="1:22" x14ac:dyDescent="0.25">
      <c r="A15" s="23"/>
      <c r="B15" s="12">
        <v>1</v>
      </c>
      <c r="C15" s="13" t="s">
        <v>36</v>
      </c>
      <c r="D15" s="14" t="s">
        <v>29</v>
      </c>
      <c r="E15" s="15"/>
      <c r="F15" s="16">
        <v>12</v>
      </c>
      <c r="G15" s="16">
        <v>21</v>
      </c>
      <c r="H15" s="17">
        <v>1500</v>
      </c>
      <c r="I15" s="18"/>
      <c r="J15" s="19">
        <f t="shared" si="0"/>
        <v>1500</v>
      </c>
      <c r="K15" s="20"/>
      <c r="L15" s="20"/>
      <c r="M15" s="20"/>
      <c r="N15" s="21">
        <f t="shared" si="5"/>
        <v>0</v>
      </c>
      <c r="O15" s="21">
        <f t="shared" si="1"/>
        <v>0</v>
      </c>
      <c r="P15" s="20"/>
      <c r="Q15" s="20"/>
      <c r="R15" s="20"/>
      <c r="S15" s="20">
        <f t="shared" si="4"/>
        <v>72.916666666666671</v>
      </c>
      <c r="T15" s="20">
        <f t="shared" si="6"/>
        <v>125</v>
      </c>
      <c r="U15" s="21">
        <f t="shared" si="2"/>
        <v>197.91666666666669</v>
      </c>
      <c r="V15" s="22">
        <f t="shared" si="3"/>
        <v>1697.9166666666667</v>
      </c>
    </row>
    <row r="16" spans="1:22" x14ac:dyDescent="0.25">
      <c r="A16" s="23"/>
      <c r="B16" s="12">
        <v>1</v>
      </c>
      <c r="C16" s="13" t="s">
        <v>37</v>
      </c>
      <c r="D16" s="14" t="s">
        <v>29</v>
      </c>
      <c r="E16" s="15"/>
      <c r="F16" s="16">
        <v>12</v>
      </c>
      <c r="G16" s="16">
        <v>21</v>
      </c>
      <c r="H16" s="17">
        <v>1500</v>
      </c>
      <c r="I16" s="18"/>
      <c r="J16" s="19">
        <f t="shared" si="0"/>
        <v>1500</v>
      </c>
      <c r="K16" s="20"/>
      <c r="L16" s="20"/>
      <c r="M16" s="20"/>
      <c r="N16" s="21">
        <f t="shared" si="5"/>
        <v>0</v>
      </c>
      <c r="O16" s="21">
        <f t="shared" si="1"/>
        <v>0</v>
      </c>
      <c r="P16" s="20"/>
      <c r="Q16" s="20"/>
      <c r="R16" s="20"/>
      <c r="S16" s="20">
        <f t="shared" si="4"/>
        <v>72.916666666666671</v>
      </c>
      <c r="T16" s="20">
        <f t="shared" si="6"/>
        <v>125</v>
      </c>
      <c r="U16" s="21">
        <f t="shared" si="2"/>
        <v>197.91666666666669</v>
      </c>
      <c r="V16" s="22">
        <f t="shared" si="3"/>
        <v>1697.9166666666667</v>
      </c>
    </row>
    <row r="17" spans="1:22" x14ac:dyDescent="0.25">
      <c r="A17" s="23"/>
      <c r="B17" s="12">
        <v>1</v>
      </c>
      <c r="C17" s="13" t="s">
        <v>38</v>
      </c>
      <c r="D17" s="14" t="s">
        <v>29</v>
      </c>
      <c r="E17" s="15"/>
      <c r="F17" s="16">
        <v>12</v>
      </c>
      <c r="G17" s="16">
        <v>21</v>
      </c>
      <c r="H17" s="17">
        <v>1500</v>
      </c>
      <c r="I17" s="18"/>
      <c r="J17" s="19">
        <f t="shared" si="0"/>
        <v>1500</v>
      </c>
      <c r="K17" s="20"/>
      <c r="L17" s="20"/>
      <c r="M17" s="20"/>
      <c r="N17" s="21">
        <f t="shared" si="5"/>
        <v>0</v>
      </c>
      <c r="O17" s="21">
        <f t="shared" si="1"/>
        <v>0</v>
      </c>
      <c r="P17" s="20"/>
      <c r="Q17" s="20"/>
      <c r="R17" s="20"/>
      <c r="S17" s="20">
        <f t="shared" si="4"/>
        <v>72.916666666666671</v>
      </c>
      <c r="T17" s="20">
        <f t="shared" si="6"/>
        <v>125</v>
      </c>
      <c r="U17" s="21">
        <f t="shared" si="2"/>
        <v>197.91666666666669</v>
      </c>
      <c r="V17" s="22">
        <f t="shared" si="3"/>
        <v>1697.9166666666667</v>
      </c>
    </row>
    <row r="18" spans="1:22" ht="30" x14ac:dyDescent="0.25">
      <c r="A18" s="23"/>
      <c r="B18" s="12">
        <v>1</v>
      </c>
      <c r="C18" s="13" t="s">
        <v>39</v>
      </c>
      <c r="D18" s="14" t="s">
        <v>40</v>
      </c>
      <c r="E18" s="15"/>
      <c r="F18" s="16">
        <v>12</v>
      </c>
      <c r="G18" s="16">
        <v>21</v>
      </c>
      <c r="H18" s="17">
        <v>3000</v>
      </c>
      <c r="I18" s="18"/>
      <c r="J18" s="19">
        <f t="shared" si="0"/>
        <v>3000</v>
      </c>
      <c r="K18" s="20">
        <f>(H18+B18)*0.02*B18</f>
        <v>60.02</v>
      </c>
      <c r="L18" s="20">
        <v>800</v>
      </c>
      <c r="M18" s="20">
        <v>54.165999999999997</v>
      </c>
      <c r="N18" s="21">
        <f t="shared" si="5"/>
        <v>914.18599999999992</v>
      </c>
      <c r="O18" s="21">
        <f t="shared" si="1"/>
        <v>10970.232</v>
      </c>
      <c r="P18" s="20">
        <v>65.2</v>
      </c>
      <c r="Q18" s="20">
        <f>(J18)/360*15*B18</f>
        <v>125.00000000000001</v>
      </c>
      <c r="R18" s="20"/>
      <c r="S18" s="20">
        <f>+(1750)/24</f>
        <v>72.916666666666671</v>
      </c>
      <c r="T18" s="20">
        <f t="shared" si="6"/>
        <v>250</v>
      </c>
      <c r="U18" s="21">
        <f t="shared" si="2"/>
        <v>513.11666666666667</v>
      </c>
      <c r="V18" s="22">
        <f t="shared" si="3"/>
        <v>4427.3026666666665</v>
      </c>
    </row>
    <row r="19" spans="1:22" ht="30" x14ac:dyDescent="0.25">
      <c r="A19" s="23"/>
      <c r="B19" s="12">
        <v>1</v>
      </c>
      <c r="C19" s="13" t="s">
        <v>41</v>
      </c>
      <c r="D19" s="14" t="s">
        <v>29</v>
      </c>
      <c r="E19" s="15"/>
      <c r="F19" s="16">
        <v>12</v>
      </c>
      <c r="G19" s="16">
        <v>21</v>
      </c>
      <c r="H19" s="17">
        <v>1500</v>
      </c>
      <c r="I19" s="18"/>
      <c r="J19" s="19">
        <f t="shared" si="0"/>
        <v>1500</v>
      </c>
      <c r="K19" s="20"/>
      <c r="L19" s="20"/>
      <c r="M19" s="20"/>
      <c r="N19" s="21">
        <f t="shared" si="5"/>
        <v>0</v>
      </c>
      <c r="O19" s="21">
        <f t="shared" si="1"/>
        <v>0</v>
      </c>
      <c r="P19" s="20"/>
      <c r="Q19" s="20"/>
      <c r="R19" s="20"/>
      <c r="S19" s="20">
        <f t="shared" si="4"/>
        <v>72.916666666666671</v>
      </c>
      <c r="T19" s="20">
        <f t="shared" si="6"/>
        <v>125</v>
      </c>
      <c r="U19" s="21">
        <f t="shared" si="2"/>
        <v>197.91666666666669</v>
      </c>
      <c r="V19" s="22">
        <f t="shared" si="3"/>
        <v>1697.9166666666667</v>
      </c>
    </row>
    <row r="20" spans="1:22" ht="30" x14ac:dyDescent="0.25">
      <c r="A20" s="23"/>
      <c r="B20" s="12">
        <v>1</v>
      </c>
      <c r="C20" s="13" t="s">
        <v>42</v>
      </c>
      <c r="D20" s="14" t="s">
        <v>43</v>
      </c>
      <c r="E20" s="15"/>
      <c r="F20" s="16">
        <v>12</v>
      </c>
      <c r="G20" s="16">
        <v>21</v>
      </c>
      <c r="H20" s="17">
        <v>1600</v>
      </c>
      <c r="I20" s="18"/>
      <c r="J20" s="19">
        <f t="shared" si="0"/>
        <v>1600</v>
      </c>
      <c r="K20" s="20"/>
      <c r="L20" s="20"/>
      <c r="M20" s="20"/>
      <c r="N20" s="21">
        <f t="shared" si="5"/>
        <v>0</v>
      </c>
      <c r="O20" s="21">
        <f t="shared" si="1"/>
        <v>0</v>
      </c>
      <c r="P20" s="20"/>
      <c r="Q20" s="20"/>
      <c r="R20" s="20"/>
      <c r="S20" s="20">
        <f t="shared" si="4"/>
        <v>72.916666666666671</v>
      </c>
      <c r="T20" s="20">
        <f t="shared" si="6"/>
        <v>133.33333333333334</v>
      </c>
      <c r="U20" s="21">
        <f t="shared" si="2"/>
        <v>206.25</v>
      </c>
      <c r="V20" s="22">
        <f t="shared" si="3"/>
        <v>1806.25</v>
      </c>
    </row>
    <row r="21" spans="1:22" ht="30" x14ac:dyDescent="0.25">
      <c r="A21" s="23"/>
      <c r="B21" s="12">
        <v>1</v>
      </c>
      <c r="C21" s="13" t="s">
        <v>44</v>
      </c>
      <c r="D21" s="14" t="s">
        <v>43</v>
      </c>
      <c r="E21" s="15"/>
      <c r="F21" s="16">
        <v>12</v>
      </c>
      <c r="G21" s="16">
        <v>21</v>
      </c>
      <c r="H21" s="17">
        <v>500</v>
      </c>
      <c r="I21" s="18"/>
      <c r="J21" s="19">
        <f t="shared" si="0"/>
        <v>500</v>
      </c>
      <c r="K21" s="20"/>
      <c r="L21" s="20"/>
      <c r="M21" s="20"/>
      <c r="N21" s="21">
        <f t="shared" si="5"/>
        <v>0</v>
      </c>
      <c r="O21" s="21">
        <f t="shared" si="1"/>
        <v>0</v>
      </c>
      <c r="P21" s="20"/>
      <c r="Q21" s="20"/>
      <c r="R21" s="20"/>
      <c r="S21" s="20">
        <f t="shared" si="4"/>
        <v>72.916666666666671</v>
      </c>
      <c r="T21" s="20">
        <f t="shared" si="6"/>
        <v>41.666666666666664</v>
      </c>
      <c r="U21" s="21">
        <f t="shared" si="2"/>
        <v>114.58333333333334</v>
      </c>
      <c r="V21" s="22">
        <f t="shared" si="3"/>
        <v>614.58333333333337</v>
      </c>
    </row>
    <row r="22" spans="1:22" x14ac:dyDescent="0.25">
      <c r="A22" s="23"/>
      <c r="B22" s="12">
        <v>1</v>
      </c>
      <c r="C22" s="13" t="s">
        <v>45</v>
      </c>
      <c r="D22" s="14" t="s">
        <v>43</v>
      </c>
      <c r="E22" s="15"/>
      <c r="F22" s="16">
        <v>12</v>
      </c>
      <c r="G22" s="16">
        <v>21</v>
      </c>
      <c r="H22" s="17">
        <v>1600</v>
      </c>
      <c r="I22" s="18"/>
      <c r="J22" s="19">
        <f t="shared" si="0"/>
        <v>1600</v>
      </c>
      <c r="K22" s="20"/>
      <c r="L22" s="20"/>
      <c r="M22" s="20"/>
      <c r="N22" s="21">
        <f t="shared" si="5"/>
        <v>0</v>
      </c>
      <c r="O22" s="21">
        <f t="shared" si="1"/>
        <v>0</v>
      </c>
      <c r="P22" s="20"/>
      <c r="Q22" s="20"/>
      <c r="R22" s="20"/>
      <c r="S22" s="20">
        <f t="shared" si="4"/>
        <v>72.916666666666671</v>
      </c>
      <c r="T22" s="20">
        <f t="shared" si="6"/>
        <v>133.33333333333334</v>
      </c>
      <c r="U22" s="21">
        <f t="shared" si="2"/>
        <v>206.25</v>
      </c>
      <c r="V22" s="22">
        <f t="shared" si="3"/>
        <v>1806.25</v>
      </c>
    </row>
    <row r="23" spans="1:22" x14ac:dyDescent="0.25">
      <c r="A23" s="23"/>
      <c r="B23" s="12">
        <v>1</v>
      </c>
      <c r="C23" s="13" t="s">
        <v>46</v>
      </c>
      <c r="D23" s="14" t="s">
        <v>43</v>
      </c>
      <c r="E23" s="15"/>
      <c r="F23" s="16">
        <v>12</v>
      </c>
      <c r="G23" s="16">
        <v>21</v>
      </c>
      <c r="H23" s="17">
        <v>1700</v>
      </c>
      <c r="I23" s="18"/>
      <c r="J23" s="19">
        <f t="shared" si="0"/>
        <v>1700</v>
      </c>
      <c r="K23" s="20"/>
      <c r="L23" s="20"/>
      <c r="M23" s="20"/>
      <c r="N23" s="21">
        <f t="shared" si="5"/>
        <v>0</v>
      </c>
      <c r="O23" s="21">
        <f t="shared" si="1"/>
        <v>0</v>
      </c>
      <c r="P23" s="20"/>
      <c r="Q23" s="20"/>
      <c r="R23" s="20"/>
      <c r="S23" s="20">
        <f t="shared" si="4"/>
        <v>72.916666666666671</v>
      </c>
      <c r="T23" s="20">
        <f t="shared" si="6"/>
        <v>141.66666666666666</v>
      </c>
      <c r="U23" s="21">
        <f t="shared" si="2"/>
        <v>214.58333333333331</v>
      </c>
      <c r="V23" s="22">
        <f t="shared" si="3"/>
        <v>1914.5833333333333</v>
      </c>
    </row>
    <row r="24" spans="1:22" ht="30" x14ac:dyDescent="0.25">
      <c r="A24" s="23"/>
      <c r="B24" s="12">
        <v>1</v>
      </c>
      <c r="C24" s="13" t="s">
        <v>47</v>
      </c>
      <c r="D24" s="14" t="s">
        <v>43</v>
      </c>
      <c r="E24" s="15"/>
      <c r="F24" s="16">
        <v>12</v>
      </c>
      <c r="G24" s="16">
        <v>21</v>
      </c>
      <c r="H24" s="17">
        <v>2700</v>
      </c>
      <c r="I24" s="18"/>
      <c r="J24" s="19">
        <f t="shared" si="0"/>
        <v>2700</v>
      </c>
      <c r="K24" s="20"/>
      <c r="L24" s="20"/>
      <c r="M24" s="20"/>
      <c r="N24" s="21">
        <f t="shared" si="5"/>
        <v>0</v>
      </c>
      <c r="O24" s="21">
        <f t="shared" si="1"/>
        <v>0</v>
      </c>
      <c r="P24" s="20"/>
      <c r="Q24" s="20"/>
      <c r="R24" s="20"/>
      <c r="S24" s="20">
        <f t="shared" si="4"/>
        <v>72.916666666666671</v>
      </c>
      <c r="T24" s="20">
        <f t="shared" si="6"/>
        <v>225</v>
      </c>
      <c r="U24" s="21">
        <f t="shared" si="2"/>
        <v>297.91666666666669</v>
      </c>
      <c r="V24" s="22">
        <f t="shared" si="3"/>
        <v>2997.9166666666665</v>
      </c>
    </row>
    <row r="25" spans="1:22" x14ac:dyDescent="0.25">
      <c r="A25" s="23"/>
      <c r="B25" s="12">
        <v>1</v>
      </c>
      <c r="C25" s="13" t="s">
        <v>48</v>
      </c>
      <c r="D25" s="14" t="s">
        <v>40</v>
      </c>
      <c r="E25" s="15"/>
      <c r="F25" s="16">
        <v>12</v>
      </c>
      <c r="G25" s="16">
        <v>21</v>
      </c>
      <c r="H25" s="17">
        <v>3000</v>
      </c>
      <c r="I25" s="18"/>
      <c r="J25" s="19">
        <f t="shared" si="0"/>
        <v>3000</v>
      </c>
      <c r="K25" s="20">
        <f>(H25+B25)*0.02*B25</f>
        <v>60.02</v>
      </c>
      <c r="L25" s="20">
        <v>800</v>
      </c>
      <c r="M25" s="20">
        <v>54.165999999999997</v>
      </c>
      <c r="N25" s="21">
        <f t="shared" si="5"/>
        <v>914.18599999999992</v>
      </c>
      <c r="O25" s="21">
        <f t="shared" si="1"/>
        <v>10970.232</v>
      </c>
      <c r="P25" s="20">
        <v>65.2</v>
      </c>
      <c r="Q25" s="20">
        <f>(J25)/360*15*B25</f>
        <v>125.00000000000001</v>
      </c>
      <c r="R25" s="20"/>
      <c r="S25" s="20">
        <f>+(1750)/24</f>
        <v>72.916666666666671</v>
      </c>
      <c r="T25" s="20">
        <f t="shared" si="6"/>
        <v>250</v>
      </c>
      <c r="U25" s="21">
        <f t="shared" si="2"/>
        <v>513.11666666666667</v>
      </c>
      <c r="V25" s="22">
        <f t="shared" si="3"/>
        <v>4427.3026666666665</v>
      </c>
    </row>
    <row r="26" spans="1:22" ht="30" x14ac:dyDescent="0.25">
      <c r="A26" s="23"/>
      <c r="B26" s="12">
        <v>1</v>
      </c>
      <c r="C26" s="13" t="s">
        <v>49</v>
      </c>
      <c r="D26" s="14" t="s">
        <v>29</v>
      </c>
      <c r="E26" s="15"/>
      <c r="F26" s="16">
        <v>12</v>
      </c>
      <c r="G26" s="16">
        <v>21</v>
      </c>
      <c r="H26" s="17">
        <v>1500</v>
      </c>
      <c r="I26" s="18"/>
      <c r="J26" s="19">
        <f>SUM(H26:I26)</f>
        <v>1500</v>
      </c>
      <c r="K26" s="20">
        <f>(H26+B26)*0.02*B26</f>
        <v>30.02</v>
      </c>
      <c r="L26" s="20">
        <v>800</v>
      </c>
      <c r="M26" s="20">
        <v>54.165999999999997</v>
      </c>
      <c r="N26" s="21">
        <f t="shared" si="5"/>
        <v>884.18599999999992</v>
      </c>
      <c r="O26" s="21">
        <f t="shared" si="1"/>
        <v>10610.232</v>
      </c>
      <c r="P26" s="20">
        <v>65.2</v>
      </c>
      <c r="Q26" s="20">
        <f>(J26)/360*15*B26</f>
        <v>62.500000000000007</v>
      </c>
      <c r="R26" s="20"/>
      <c r="S26" s="20">
        <f>+(1750)/24</f>
        <v>72.916666666666671</v>
      </c>
      <c r="T26" s="20">
        <f t="shared" si="6"/>
        <v>125</v>
      </c>
      <c r="U26" s="21">
        <f>SUM(P26:T26)</f>
        <v>325.61666666666667</v>
      </c>
      <c r="V26" s="22">
        <f>U26+N26+J26</f>
        <v>2709.8026666666665</v>
      </c>
    </row>
    <row r="27" spans="1:22" ht="30" x14ac:dyDescent="0.25">
      <c r="A27" s="23"/>
      <c r="B27" s="12">
        <v>1</v>
      </c>
      <c r="C27" s="13" t="s">
        <v>50</v>
      </c>
      <c r="D27" s="14" t="s">
        <v>51</v>
      </c>
      <c r="E27" s="15"/>
      <c r="F27" s="16">
        <v>12</v>
      </c>
      <c r="G27" s="16">
        <v>21</v>
      </c>
      <c r="H27" s="17">
        <v>1600</v>
      </c>
      <c r="I27" s="18"/>
      <c r="J27" s="19">
        <f>SUM(H27:I27)</f>
        <v>1600</v>
      </c>
      <c r="K27" s="20">
        <f>(H27+B27)*0.02*B27</f>
        <v>32.020000000000003</v>
      </c>
      <c r="L27" s="20">
        <v>800</v>
      </c>
      <c r="M27" s="20">
        <v>54.165999999999997</v>
      </c>
      <c r="N27" s="21">
        <f t="shared" si="5"/>
        <v>886.18599999999992</v>
      </c>
      <c r="O27" s="21">
        <f t="shared" si="1"/>
        <v>10634.232</v>
      </c>
      <c r="P27" s="20">
        <v>65.2</v>
      </c>
      <c r="Q27" s="20">
        <f>(J27)/360*15*B27</f>
        <v>66.666666666666671</v>
      </c>
      <c r="R27" s="20"/>
      <c r="S27" s="20">
        <f>+(1750)/24</f>
        <v>72.916666666666671</v>
      </c>
      <c r="T27" s="20">
        <f t="shared" si="6"/>
        <v>133.33333333333334</v>
      </c>
      <c r="U27" s="21">
        <f>SUM(P27:T27)</f>
        <v>338.11666666666667</v>
      </c>
      <c r="V27" s="22">
        <f>U27+N27+J27</f>
        <v>2824.3026666666665</v>
      </c>
    </row>
    <row r="28" spans="1:22" ht="30" x14ac:dyDescent="0.25">
      <c r="A28" s="23"/>
      <c r="B28" s="12">
        <v>1</v>
      </c>
      <c r="C28" s="13" t="s">
        <v>52</v>
      </c>
      <c r="D28" s="14" t="s">
        <v>29</v>
      </c>
      <c r="E28" s="15"/>
      <c r="F28" s="16">
        <v>12</v>
      </c>
      <c r="G28" s="16">
        <v>21</v>
      </c>
      <c r="H28" s="17">
        <v>1300</v>
      </c>
      <c r="I28" s="18"/>
      <c r="J28" s="19">
        <f>SUM(H28:I28)</f>
        <v>1300</v>
      </c>
      <c r="K28" s="20"/>
      <c r="L28" s="20"/>
      <c r="M28" s="20"/>
      <c r="N28" s="21">
        <f t="shared" si="5"/>
        <v>0</v>
      </c>
      <c r="O28" s="21">
        <f t="shared" si="1"/>
        <v>0</v>
      </c>
      <c r="P28" s="20"/>
      <c r="Q28" s="20"/>
      <c r="R28" s="20"/>
      <c r="S28" s="20">
        <f t="shared" si="4"/>
        <v>72.916666666666671</v>
      </c>
      <c r="T28" s="20">
        <f t="shared" si="6"/>
        <v>108.33333333333333</v>
      </c>
      <c r="U28" s="21">
        <f>SUM(P28:T28)</f>
        <v>181.25</v>
      </c>
      <c r="V28" s="22">
        <f>U28+N28+J28</f>
        <v>1481.25</v>
      </c>
    </row>
    <row r="29" spans="1:22" ht="45" x14ac:dyDescent="0.25">
      <c r="A29" s="23"/>
      <c r="B29" s="12">
        <v>1</v>
      </c>
      <c r="C29" s="13" t="s">
        <v>53</v>
      </c>
      <c r="D29" s="14" t="s">
        <v>29</v>
      </c>
      <c r="E29" s="15"/>
      <c r="F29" s="16">
        <v>12</v>
      </c>
      <c r="G29" s="16">
        <v>21</v>
      </c>
      <c r="H29" s="17">
        <v>1300</v>
      </c>
      <c r="I29" s="18"/>
      <c r="J29" s="19">
        <f>SUM(H29:I29)</f>
        <v>1300</v>
      </c>
      <c r="K29" s="20">
        <f>(H29+B29)*0.02*B29</f>
        <v>26.02</v>
      </c>
      <c r="L29" s="20">
        <v>800</v>
      </c>
      <c r="M29" s="20">
        <v>54.165999999999997</v>
      </c>
      <c r="N29" s="21">
        <f t="shared" si="5"/>
        <v>880.18599999999992</v>
      </c>
      <c r="O29" s="21">
        <f t="shared" si="1"/>
        <v>10562.232</v>
      </c>
      <c r="P29" s="20">
        <v>65.2</v>
      </c>
      <c r="Q29" s="20">
        <f>(J29)/360*15*B29</f>
        <v>54.166666666666664</v>
      </c>
      <c r="R29" s="20"/>
      <c r="S29" s="20">
        <f>+(1750)/24</f>
        <v>72.916666666666671</v>
      </c>
      <c r="T29" s="20">
        <f t="shared" si="6"/>
        <v>108.33333333333333</v>
      </c>
      <c r="U29" s="21">
        <f>SUM(P29:T29)</f>
        <v>300.61666666666667</v>
      </c>
      <c r="V29" s="22">
        <f>U29+N29+J29</f>
        <v>2480.8026666666665</v>
      </c>
    </row>
    <row r="30" spans="1:22" x14ac:dyDescent="0.25">
      <c r="A30" s="36"/>
      <c r="B30" s="37"/>
      <c r="C30" s="38"/>
      <c r="D30" s="39"/>
      <c r="E30" s="40"/>
      <c r="F30" s="41"/>
      <c r="G30" s="41"/>
      <c r="H30" s="42"/>
      <c r="I30" s="40"/>
      <c r="J30" s="43"/>
      <c r="K30" s="44"/>
      <c r="L30" s="44"/>
      <c r="M30" s="44"/>
      <c r="N30" s="45"/>
      <c r="O30" s="45"/>
      <c r="P30" s="44"/>
      <c r="Q30" s="44"/>
      <c r="R30" s="44"/>
      <c r="S30" s="44"/>
      <c r="T30" s="44"/>
      <c r="U30" s="45"/>
      <c r="V30" s="46"/>
    </row>
    <row r="31" spans="1:22" x14ac:dyDescent="0.25">
      <c r="A31" s="23"/>
      <c r="B31" s="12"/>
      <c r="C31" s="13"/>
      <c r="D31" s="23"/>
      <c r="E31" s="23"/>
      <c r="F31" s="16"/>
      <c r="G31" s="16"/>
      <c r="H31" s="17"/>
      <c r="I31" s="18"/>
      <c r="J31" s="19"/>
      <c r="K31" s="20"/>
      <c r="L31" s="20"/>
      <c r="M31" s="20"/>
      <c r="N31" s="21"/>
      <c r="O31" s="21"/>
      <c r="P31" s="20"/>
      <c r="Q31" s="20"/>
      <c r="R31" s="20"/>
      <c r="S31" s="20"/>
      <c r="T31" s="20"/>
      <c r="U31" s="21"/>
      <c r="V31" s="22"/>
    </row>
    <row r="32" spans="1:22" x14ac:dyDescent="0.25">
      <c r="A32" s="47"/>
      <c r="B32" s="48">
        <f>SUM(B5:B31)</f>
        <v>24</v>
      </c>
      <c r="C32" s="49"/>
      <c r="D32" s="49"/>
      <c r="E32" s="49"/>
      <c r="F32" s="48"/>
      <c r="G32" s="48"/>
      <c r="H32" s="47"/>
      <c r="I32" s="47"/>
      <c r="J32" s="50">
        <f t="shared" ref="J32:Q32" si="7">SUM(J5:J31)</f>
        <v>45050</v>
      </c>
      <c r="K32" s="47">
        <f t="shared" si="7"/>
        <v>789.33999999999992</v>
      </c>
      <c r="L32" s="47">
        <f t="shared" si="7"/>
        <v>4800</v>
      </c>
      <c r="M32" s="47">
        <f t="shared" si="7"/>
        <v>324.99599999999998</v>
      </c>
      <c r="N32" s="47">
        <f t="shared" si="7"/>
        <v>5914.3359999999984</v>
      </c>
      <c r="O32" s="47">
        <f t="shared" si="7"/>
        <v>70972.032000000007</v>
      </c>
      <c r="P32" s="47">
        <f t="shared" si="7"/>
        <v>456.4</v>
      </c>
      <c r="Q32" s="47">
        <f t="shared" si="7"/>
        <v>789.58333333333337</v>
      </c>
      <c r="R32" s="47">
        <f>SUM(R7:R31)</f>
        <v>0</v>
      </c>
      <c r="S32" s="47">
        <f>SUM(S5:S31)</f>
        <v>1677.0833333333337</v>
      </c>
      <c r="T32" s="47">
        <f>SUM(T5:T31)</f>
        <v>3754.1666666666674</v>
      </c>
      <c r="U32" s="47">
        <f>SUM(U5:U31)</f>
        <v>6677.2333333333327</v>
      </c>
      <c r="V32" s="47">
        <f>SUM(V5:V31)</f>
        <v>57641.569333333347</v>
      </c>
    </row>
    <row r="33" spans="1:22" x14ac:dyDescent="0.25">
      <c r="A33" s="3"/>
      <c r="B33" s="51"/>
      <c r="C33" s="3"/>
      <c r="D33" s="3"/>
      <c r="E33" s="3"/>
      <c r="F33" s="3"/>
      <c r="G33" s="3"/>
      <c r="H33" s="3"/>
      <c r="I33" s="3"/>
      <c r="J33" s="52"/>
      <c r="K33" s="3"/>
      <c r="L33" s="3"/>
      <c r="M33" s="3"/>
      <c r="N33" s="53"/>
      <c r="O33" s="53"/>
      <c r="P33" s="3"/>
      <c r="Q33" s="3"/>
      <c r="R33" s="3"/>
      <c r="S33" s="3"/>
      <c r="T33" s="3"/>
      <c r="U33" s="53"/>
      <c r="V33" s="53"/>
    </row>
  </sheetData>
  <mergeCells count="23">
    <mergeCell ref="V3:V4"/>
    <mergeCell ref="N3:N4"/>
    <mergeCell ref="P3:P4"/>
    <mergeCell ref="Q3:Q4"/>
    <mergeCell ref="S3:S4"/>
    <mergeCell ref="T3:T4"/>
    <mergeCell ref="U3:U4"/>
    <mergeCell ref="H3:H4"/>
    <mergeCell ref="I3:I4"/>
    <mergeCell ref="J3:J4"/>
    <mergeCell ref="K3:K4"/>
    <mergeCell ref="L3:L4"/>
    <mergeCell ref="M3:M4"/>
    <mergeCell ref="A1:V1"/>
    <mergeCell ref="K2:M2"/>
    <mergeCell ref="P2:T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mohammad saleh</cp:lastModifiedBy>
  <dcterms:created xsi:type="dcterms:W3CDTF">2025-07-21T09:59:32Z</dcterms:created>
  <dcterms:modified xsi:type="dcterms:W3CDTF">2026-04-07T12:57:50Z</dcterms:modified>
</cp:coreProperties>
</file>